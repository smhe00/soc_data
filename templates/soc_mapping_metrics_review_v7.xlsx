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parti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  <sheet name="coverage_checks" sheetId="11" state="visible" r:id="rId11"/>
  </sheets>
  <definedNames>
    <definedName name="_xlnm._FilterDatabase" localSheetId="0" hidden="1">'instructions'!$A$1:$B$19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'physical_partitions'!$A$1:$I$9</definedName>
    <definedName name="_xlnm._FilterDatabase" localSheetId="7" hidden="1">'metrics'!$A$1:$N$18</definedName>
    <definedName name="_xlnm._FilterDatabase" localSheetId="8" hidden="1">'metric_dictionary'!$A$1:$F$12</definedName>
    <definedName name="_xlnm._FilterDatabase" localSheetId="9" hidden="1">'relationship_examples'!$A$1:$B$10</definedName>
    <definedName name="_xlnm._FilterDatabase" localSheetId="10" hidden="1">'coverage_checks'!$A$1:$I$6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partitions_table" displayName="physical_partitions_table" ref="A1:I9" headerRowCount="1">
  <autoFilter ref="A1:I9"/>
  <tableColumns count="9">
    <tableColumn id="1" name="id"/>
    <tableColumn id="2" name="scenario_id"/>
    <tableColumn id="3" name="logical_component_id"/>
    <tableColumn id="4" name="tier_id"/>
    <tableColumn id="5" name="partition_name"/>
    <tableColumn id="6" name="partition_type"/>
    <tableColumn id="7" name="physical_instance_count"/>
    <tableColumn id="8" name="partition_ratio"/>
    <tableColumn id="9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18" headerRowCount="1">
  <autoFilter ref="A1:N18"/>
  <tableColumns count="14">
    <tableColumn id="1" name="id"/>
    <tableColumn id="2" name="scenario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12" headerRowCount="1">
  <autoFilter ref="A1:F12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10" headerRowCount="1">
  <autoFilter ref="A1:B10"/>
  <tableColumns count="2">
    <tableColumn id="1" name="Question"/>
    <tableColumn id="2" name="How v7 represents i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overage_checks_table" displayName="coverage_checks_table" ref="A1:I6" headerRowCount="1">
  <autoFilter ref="A1:I6"/>
  <tableColumns count="9">
    <tableColumn id="1" name="scenario_id"/>
    <tableColumn id="2" name="logical_component_id"/>
    <tableColumn id="3" name="logical_name"/>
    <tableColumn id="4" name="logical_instance_count"/>
    <tableColumn id="5" name="sum_physical_instance_count"/>
    <tableColumn id="6" name="sum_partition_ratio"/>
    <tableColumn id="7" name="count_status"/>
    <tableColumn id="8" name="ratio_status"/>
    <tableColumn id="9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v7</t>
        </is>
      </c>
      <c r="B1" s="1" t="n"/>
    </row>
    <row r="2">
      <c r="A2" s="2" t="inlineStr">
        <is>
          <t>Purpose</t>
        </is>
      </c>
      <c r="B2" s="2" t="inlineStr">
        <is>
          <t>Review a compact early-stage data model: logical_components stays focused on hierarchy and logical instance count, physical_partitions describe logical-to-die partitioning plus physical count, and metrics carries all quantitative/details data.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hierarchy. Repeated use is represented by logical_instance_count.</t>
        </is>
      </c>
    </row>
    <row r="7">
      <c r="A7" s="2" t="inlineStr">
        <is>
          <t>physical_partitions</t>
        </is>
      </c>
      <c r="B7" s="2" t="inlineStr">
        <is>
          <t>Minimal physical partition table from logical components to scenario/tier placement. Ratio is logical content share; physical_instance_count shows how many physical copies are realized there. Details live in metrics.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physical_partition, tier, or scenario.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>
        <is>
          <t>coverage_checks</t>
        </is>
      </c>
      <c r="B10" s="2" t="inlineStr">
        <is>
          <t>Review helper showing whether physical partition rows close against logical counts and ratios.</t>
        </is>
      </c>
    </row>
    <row r="11">
      <c r="A11" s="2" t="inlineStr"/>
      <c r="B11" s="2" t="n"/>
    </row>
    <row r="12">
      <c r="A12" s="2" t="inlineStr">
        <is>
          <t>Design Rules</t>
        </is>
      </c>
      <c r="B12" s="2" t="n"/>
    </row>
    <row r="13">
      <c r="A13" s="2" t="inlineStr">
        <is>
          <t>1</t>
        </is>
      </c>
      <c r="B13" s="2" t="inlineStr">
        <is>
          <t>Do not expand logical components into _0/_1/_2 rows for repeated instances.</t>
        </is>
      </c>
    </row>
    <row r="14">
      <c r="A14" s="2" t="inlineStr">
        <is>
          <t>2</t>
        </is>
      </c>
      <c r="B14" s="2" t="inlineStr">
        <is>
          <t>Use physical_instance_count to show how many physical copies this partition realizes on the tier.</t>
        </is>
      </c>
    </row>
    <row r="15">
      <c r="A15" s="2" t="inlineStr">
        <is>
          <t>3</t>
        </is>
      </c>
      <c r="B15" s="2" t="inlineStr">
        <is>
          <t>Use partition_ratio to describe how much logical content is carried by the partition. For a repeated full module, ratio can be physical_instance_count / logical_instance_count.</t>
        </is>
      </c>
    </row>
    <row r="16">
      <c r="A16" s="2" t="inlineStr">
        <is>
          <t>4</t>
        </is>
      </c>
      <c r="B16" s="2" t="inlineStr">
        <is>
          <t>If one logical module is split across dies, create multiple physical_partitions with the same logical_component_id.</t>
        </is>
      </c>
    </row>
    <row r="17">
      <c r="A17" s="2" t="inlineStr">
        <is>
          <t>5</t>
        </is>
      </c>
      <c r="B17" s="2" t="inlineStr">
        <is>
          <t>Keep logical_components compact. Store signal count and area breakdowns as logical_component metrics.</t>
        </is>
      </c>
    </row>
    <row r="18">
      <c r="A18" s="2" t="inlineStr">
        <is>
          <t>6</t>
        </is>
      </c>
      <c r="B18" s="2" t="inlineStr">
        <is>
          <t>For early-stage logical area, use logic_area, sram_area, and block_area only.</t>
        </is>
      </c>
    </row>
    <row r="19">
      <c r="A19" s="2" t="inlineStr">
        <is>
          <t>7</t>
        </is>
      </c>
      <c r="B19" s="2" t="inlineStr">
        <is>
          <t>Do not store shape/width/height/utilization/orientation directly in physical_partitions at this stage; use metrics when needed.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12" customWidth="1" min="4" max="4"/>
    <col width="22" customWidth="1" min="5" max="5"/>
    <col width="16" customWidth="1" min="6" max="6"/>
    <col width="25" customWidth="1" min="7" max="7"/>
    <col width="17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tier_id</t>
        </is>
      </c>
      <c r="E1" s="1" t="inlineStr">
        <is>
          <t>partition_name</t>
        </is>
      </c>
      <c r="F1" s="1" t="inlineStr">
        <is>
          <t>partition_type</t>
        </is>
      </c>
      <c r="G1" s="1" t="inlineStr">
        <is>
          <t>physical_instance_count</t>
        </is>
      </c>
      <c r="H1" s="1" t="inlineStr">
        <is>
          <t>partition_ratio</t>
        </is>
      </c>
      <c r="I1" s="1" t="inlineStr">
        <is>
          <t>description</t>
        </is>
      </c>
    </row>
    <row r="2">
      <c r="A2" s="2" t="inlineStr">
        <is>
          <t>PP_NPU_MAC_T0_TALL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T0</t>
        </is>
      </c>
      <c r="E2" s="2" t="inlineStr">
        <is>
          <t>NPU_MAC_TOP_TALL</t>
        </is>
      </c>
      <c r="F2" s="2" t="inlineStr">
        <is>
          <t>full</t>
        </is>
      </c>
      <c r="G2" s="2" t="n">
        <v>1</v>
      </c>
      <c r="H2" s="2" t="n">
        <v>0.25</v>
      </c>
      <c r="I2" s="2" t="inlineStr">
        <is>
          <t>One of four logical NPU_MAC_ARRAY copies is implemented as this top-tier physical partition. Shape details live in metrics if needed.</t>
        </is>
      </c>
    </row>
    <row r="3">
      <c r="A3" s="2" t="inlineStr">
        <is>
          <t>PP_NPU_MAC_T0_WIDE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T0</t>
        </is>
      </c>
      <c r="E3" s="2" t="inlineStr">
        <is>
          <t>NPU_MAC_TOP_WIDE</t>
        </is>
      </c>
      <c r="F3" s="2" t="inlineStr">
        <is>
          <t>full</t>
        </is>
      </c>
      <c r="G3" s="2" t="n">
        <v>1</v>
      </c>
      <c r="H3" s="2" t="n">
        <v>0.25</v>
      </c>
      <c r="I3" s="2" t="inlineStr">
        <is>
          <t>A second NPU_MAC_ARRAY copy is implemented on the same top tier, but can use a different physical shape metric.</t>
        </is>
      </c>
    </row>
    <row r="4">
      <c r="A4" s="2" t="inlineStr">
        <is>
          <t>PP_NPU_MAC_T1_STD</t>
        </is>
      </c>
      <c r="B4" s="2" t="inlineStr">
        <is>
          <t>S2</t>
        </is>
      </c>
      <c r="C4" s="2" t="inlineStr">
        <is>
          <t>B30</t>
        </is>
      </c>
      <c r="D4" s="2" t="inlineStr">
        <is>
          <t>T1</t>
        </is>
      </c>
      <c r="E4" s="2" t="inlineStr">
        <is>
          <t>NPU_MAC_MID_STD</t>
        </is>
      </c>
      <c r="F4" s="2" t="inlineStr">
        <is>
          <t>full</t>
        </is>
      </c>
      <c r="G4" s="2" t="n">
        <v>2</v>
      </c>
      <c r="H4" s="2" t="n">
        <v>0.5</v>
      </c>
      <c r="I4" s="2" t="inlineStr">
        <is>
          <t>Two of four NPU_MAC_ARRAY copies are implemented by this middle-tier partition style.</t>
        </is>
      </c>
    </row>
    <row r="5">
      <c r="A5" s="2" t="inlineStr">
        <is>
          <t>PP_NPU_SRAM_T1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T1</t>
        </is>
      </c>
      <c r="E5" s="2" t="inlineStr">
        <is>
          <t>NPU_SRAM_BANK_MID</t>
        </is>
      </c>
      <c r="F5" s="2" t="inlineStr">
        <is>
          <t>full</t>
        </is>
      </c>
      <c r="G5" s="2" t="n">
        <v>2</v>
      </c>
      <c r="H5" s="2" t="n">
        <v>1</v>
      </c>
      <c r="I5" s="2" t="inlineStr">
        <is>
          <t>Both logical SRAM bank copies are carried by this middle-tier partition.</t>
        </is>
      </c>
    </row>
    <row r="6">
      <c r="A6" s="2" t="inlineStr">
        <is>
          <t>PP_GPU_LOGIC_T0</t>
        </is>
      </c>
      <c r="B6" s="2" t="inlineStr">
        <is>
          <t>S2</t>
        </is>
      </c>
      <c r="C6" s="2" t="inlineStr">
        <is>
          <t>B2</t>
        </is>
      </c>
      <c r="D6" s="2" t="inlineStr">
        <is>
          <t>T0</t>
        </is>
      </c>
      <c r="E6" s="2" t="inlineStr">
        <is>
          <t>GPU_SHADER_LOGIC_TOP</t>
        </is>
      </c>
      <c r="F6" s="2" t="inlineStr">
        <is>
          <t>partial</t>
        </is>
      </c>
      <c r="G6" s="2" t="n">
        <v>1</v>
      </c>
      <c r="H6" s="2" t="n">
        <v>0.65</v>
      </c>
      <c r="I6" s="2" t="inlineStr">
        <is>
          <t>GPU logic-side partition on top tier. Logic/SRAM/block area details live in metrics.</t>
        </is>
      </c>
    </row>
    <row r="7">
      <c r="A7" s="2" t="inlineStr">
        <is>
          <t>PP_GPU_CACHE_T1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T1</t>
        </is>
      </c>
      <c r="E7" s="2" t="inlineStr">
        <is>
          <t>GPU_CACHE_SRAM_MID</t>
        </is>
      </c>
      <c r="F7" s="2" t="inlineStr">
        <is>
          <t>partial</t>
        </is>
      </c>
      <c r="G7" s="2" t="n">
        <v>1</v>
      </c>
      <c r="H7" s="2" t="n">
        <v>0.35</v>
      </c>
      <c r="I7" s="2" t="inlineStr">
        <is>
          <t>GPU cache/SRAM-side partition on middle tier. Logic/SRAM/block area details live in metrics.</t>
        </is>
      </c>
    </row>
    <row r="8">
      <c r="A8" s="2" t="inlineStr">
        <is>
          <t>PP_NPU_TOP_RESIDUAL_T0</t>
        </is>
      </c>
      <c r="B8" s="2" t="inlineStr">
        <is>
          <t>S2</t>
        </is>
      </c>
      <c r="C8" s="2" t="inlineStr">
        <is>
          <t>B3</t>
        </is>
      </c>
      <c r="D8" s="2" t="inlineStr">
        <is>
          <t>T0</t>
        </is>
      </c>
      <c r="E8" s="2" t="inlineStr">
        <is>
          <t>NPU_TOP_RESIDUAL</t>
        </is>
      </c>
      <c r="F8" s="2" t="inlineStr">
        <is>
          <t>residual</t>
        </is>
      </c>
      <c r="G8" s="2" t="n">
        <v>1</v>
      </c>
      <c r="H8" s="2" t="n">
        <v>1</v>
      </c>
      <c r="I8" s="2" t="inlineStr">
        <is>
          <t>Residual NPU_TOP glue/control/interconnect not represented by child logical components.</t>
        </is>
      </c>
    </row>
    <row r="9">
      <c r="A9" s="2" t="inlineStr">
        <is>
          <t>PP_DDR_PHY_T2</t>
        </is>
      </c>
      <c r="B9" s="2" t="inlineStr">
        <is>
          <t>S2</t>
        </is>
      </c>
      <c r="C9" s="2" t="inlineStr">
        <is>
          <t>B5</t>
        </is>
      </c>
      <c r="D9" s="2" t="inlineStr">
        <is>
          <t>T2</t>
        </is>
      </c>
      <c r="E9" s="2" t="inlineStr">
        <is>
          <t>DDR_PHY_BOTTOM</t>
        </is>
      </c>
      <c r="F9" s="2" t="inlineStr">
        <is>
          <t>full</t>
        </is>
      </c>
      <c r="G9" s="2" t="n">
        <v>1</v>
      </c>
      <c r="H9" s="2" t="n">
        <v>1</v>
      </c>
      <c r="I9" s="2" t="inlineStr">
        <is>
          <t>Fixed PHY partition on bottom tier.</t>
        </is>
      </c>
    </row>
  </sheetData>
  <autoFilter ref="A1:I9"/>
  <dataValidations count="1">
    <dataValidation sqref="F2:F100" showDropDown="0" showInputMessage="0" showErrorMessage="0" allowBlank="0" type="list">
      <formula1>"full,partial,residual"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20" customWidth="1" min="4" max="4"/>
    <col width="20" customWidth="1" min="5" max="5"/>
    <col width="16" customWidth="1" min="6" max="6"/>
    <col width="13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M_LOG_B30_SIGNALS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signal_count_total</t>
        </is>
      </c>
      <c r="F2" s="2" t="n">
        <v>44</v>
      </c>
      <c r="G2" s="2" t="inlineStr">
        <is>
          <t>count</t>
        </is>
      </c>
      <c r="H2" s="2" t="inlineStr">
        <is>
          <t>logical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Total logical signal count. Input/output/inout are intentionally not split in phase 1.</t>
        </is>
      </c>
      <c r="N2" s="2" t="inlineStr">
        <is>
          <t>2026-05-27</t>
        </is>
      </c>
    </row>
    <row r="3">
      <c r="A3" s="2" t="inlineStr">
        <is>
          <t>M_LOG_B30_LOGIC_AREA</t>
        </is>
      </c>
      <c r="B3" s="2" t="inlineStr">
        <is>
          <t>S2</t>
        </is>
      </c>
      <c r="C3" s="2" t="inlineStr">
        <is>
          <t>logical_component</t>
        </is>
      </c>
      <c r="D3" s="2" t="inlineStr">
        <is>
          <t>B30</t>
        </is>
      </c>
      <c r="E3" s="2" t="inlineStr">
        <is>
          <t>logic_area</t>
        </is>
      </c>
      <c r="F3" s="2" t="n">
        <v>10.6</v>
      </c>
      <c r="G3" s="2" t="inlineStr">
        <is>
          <t>mm2</t>
        </is>
      </c>
      <c r="H3" s="2" t="inlineStr">
        <is>
          <t>logical_area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draft</t>
        </is>
      </c>
      <c r="M3" s="2" t="inlineStr">
        <is>
          <t>Logic area estimate for all four MAC instances.</t>
        </is>
      </c>
      <c r="N3" s="2" t="inlineStr">
        <is>
          <t>2026-05-27</t>
        </is>
      </c>
    </row>
    <row r="4">
      <c r="A4" s="2" t="inlineStr">
        <is>
          <t>M_LOG_B30_SRAM_AREA</t>
        </is>
      </c>
      <c r="B4" s="2" t="inlineStr">
        <is>
          <t>S2</t>
        </is>
      </c>
      <c r="C4" s="2" t="inlineStr">
        <is>
          <t>logical_component</t>
        </is>
      </c>
      <c r="D4" s="2" t="inlineStr">
        <is>
          <t>B30</t>
        </is>
      </c>
      <c r="E4" s="2" t="inlineStr">
        <is>
          <t>sram_area</t>
        </is>
      </c>
      <c r="F4" s="2" t="n">
        <v>0</v>
      </c>
      <c r="G4" s="2" t="inlineStr">
        <is>
          <t>mm2</t>
        </is>
      </c>
      <c r="H4" s="2" t="inlineStr">
        <is>
          <t>logical_area</t>
        </is>
      </c>
      <c r="I4" s="2" t="inlineStr">
        <is>
          <t>number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SRAM area estimate for all four MAC instances.</t>
        </is>
      </c>
      <c r="N4" s="2" t="inlineStr">
        <is>
          <t>2026-05-27</t>
        </is>
      </c>
    </row>
    <row r="5">
      <c r="A5" s="2" t="inlineStr">
        <is>
          <t>M_LOG_B30_BLOCK_AREA</t>
        </is>
      </c>
      <c r="B5" s="2" t="inlineStr">
        <is>
          <t>S2</t>
        </is>
      </c>
      <c r="C5" s="2" t="inlineStr">
        <is>
          <t>logical_component</t>
        </is>
      </c>
      <c r="D5" s="2" t="inlineStr">
        <is>
          <t>B30</t>
        </is>
      </c>
      <c r="E5" s="2" t="inlineStr">
        <is>
          <t>block_area</t>
        </is>
      </c>
      <c r="F5" s="2" t="n">
        <v>11.8</v>
      </c>
      <c r="G5" s="2" t="inlineStr">
        <is>
          <t>mm2</t>
        </is>
      </c>
      <c r="H5" s="2" t="inlineStr">
        <is>
          <t>logical_area</t>
        </is>
      </c>
      <c r="I5" s="2" t="inlineStr">
        <is>
          <t>number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Block area estimate including logic, SRAM, and early overhead.</t>
        </is>
      </c>
      <c r="N5" s="2" t="inlineStr">
        <is>
          <t>2026-05-27</t>
        </is>
      </c>
    </row>
    <row r="6">
      <c r="A6" s="2" t="inlineStr">
        <is>
          <t>M_LOG_B8_SIGNALS</t>
        </is>
      </c>
      <c r="B6" s="2" t="inlineStr">
        <is>
          <t>S2</t>
        </is>
      </c>
      <c r="C6" s="2" t="inlineStr">
        <is>
          <t>logical_component</t>
        </is>
      </c>
      <c r="D6" s="2" t="inlineStr">
        <is>
          <t>B8</t>
        </is>
      </c>
      <c r="E6" s="2" t="inlineStr">
        <is>
          <t>signal_count_total</t>
        </is>
      </c>
      <c r="F6" s="2" t="n">
        <v>24</v>
      </c>
      <c r="G6" s="2" t="inlineStr">
        <is>
          <t>count</t>
        </is>
      </c>
      <c r="H6" s="2" t="inlineStr">
        <is>
          <t>logical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draft</t>
        </is>
      </c>
      <c r="M6" s="2" t="inlineStr">
        <is>
          <t>Total logical signal count for SRAM bank module.</t>
        </is>
      </c>
      <c r="N6" s="2" t="inlineStr">
        <is>
          <t>2026-05-27</t>
        </is>
      </c>
    </row>
    <row r="7">
      <c r="A7" s="2" t="inlineStr">
        <is>
          <t>M_LOG_B8_LOGIC_AREA</t>
        </is>
      </c>
      <c r="B7" s="2" t="inlineStr">
        <is>
          <t>S2</t>
        </is>
      </c>
      <c r="C7" s="2" t="inlineStr">
        <is>
          <t>logical_component</t>
        </is>
      </c>
      <c r="D7" s="2" t="inlineStr">
        <is>
          <t>B8</t>
        </is>
      </c>
      <c r="E7" s="2" t="inlineStr">
        <is>
          <t>logic_area</t>
        </is>
      </c>
      <c r="F7" s="2" t="n">
        <v>0.2</v>
      </c>
      <c r="G7" s="2" t="inlineStr">
        <is>
          <t>mm2</t>
        </is>
      </c>
      <c r="H7" s="2" t="inlineStr">
        <is>
          <t>logical_area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nominal</t>
        </is>
      </c>
      <c r="L7" s="2" t="inlineStr">
        <is>
          <t>draft</t>
        </is>
      </c>
      <c r="M7" s="2" t="inlineStr">
        <is>
          <t>Peripheral/control logic area.</t>
        </is>
      </c>
      <c r="N7" s="2" t="inlineStr">
        <is>
          <t>2026-05-27</t>
        </is>
      </c>
    </row>
    <row r="8">
      <c r="A8" s="2" t="inlineStr">
        <is>
          <t>M_LOG_B8_SRAM_AREA</t>
        </is>
      </c>
      <c r="B8" s="2" t="inlineStr">
        <is>
          <t>S2</t>
        </is>
      </c>
      <c r="C8" s="2" t="inlineStr">
        <is>
          <t>logical_component</t>
        </is>
      </c>
      <c r="D8" s="2" t="inlineStr">
        <is>
          <t>B8</t>
        </is>
      </c>
      <c r="E8" s="2" t="inlineStr">
        <is>
          <t>sram_area</t>
        </is>
      </c>
      <c r="F8" s="2" t="n">
        <v>7.6</v>
      </c>
      <c r="G8" s="2" t="inlineStr">
        <is>
          <t>mm2</t>
        </is>
      </c>
      <c r="H8" s="2" t="inlineStr">
        <is>
          <t>logical_area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nominal</t>
        </is>
      </c>
      <c r="L8" s="2" t="inlineStr">
        <is>
          <t>draft</t>
        </is>
      </c>
      <c r="M8" s="2" t="inlineStr">
        <is>
          <t>SRAM macro area estimate.</t>
        </is>
      </c>
      <c r="N8" s="2" t="inlineStr">
        <is>
          <t>2026-05-27</t>
        </is>
      </c>
    </row>
    <row r="9">
      <c r="A9" s="2" t="inlineStr">
        <is>
          <t>M_LOG_B8_BLOCK_AREA</t>
        </is>
      </c>
      <c r="B9" s="2" t="inlineStr">
        <is>
          <t>S2</t>
        </is>
      </c>
      <c r="C9" s="2" t="inlineStr">
        <is>
          <t>logical_component</t>
        </is>
      </c>
      <c r="D9" s="2" t="inlineStr">
        <is>
          <t>B8</t>
        </is>
      </c>
      <c r="E9" s="2" t="inlineStr">
        <is>
          <t>block_area</t>
        </is>
      </c>
      <c r="F9" s="2" t="n">
        <v>8.199999999999999</v>
      </c>
      <c r="G9" s="2" t="inlineStr">
        <is>
          <t>mm2</t>
        </is>
      </c>
      <c r="H9" s="2" t="inlineStr">
        <is>
          <t>logical_area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Block area estimate including early overhead.</t>
        </is>
      </c>
      <c r="N9" s="2" t="inlineStr">
        <is>
          <t>2026-05-27</t>
        </is>
      </c>
    </row>
    <row r="10">
      <c r="A10" s="2" t="inlineStr">
        <is>
          <t>M_PART_MAC_T0_TALL_LOGIC_AREA</t>
        </is>
      </c>
      <c r="B10" s="2" t="inlineStr">
        <is>
          <t>S2</t>
        </is>
      </c>
      <c r="C10" s="2" t="inlineStr">
        <is>
          <t>physical_partition</t>
        </is>
      </c>
      <c r="D10" s="2" t="inlineStr">
        <is>
          <t>PP_NPU_MAC_T0_TALL</t>
        </is>
      </c>
      <c r="E10" s="2" t="inlineStr">
        <is>
          <t>logic_area</t>
        </is>
      </c>
      <c r="F10" s="2" t="n">
        <v>2.8</v>
      </c>
      <c r="G10" s="2" t="inlineStr">
        <is>
          <t>mm2</t>
        </is>
      </c>
      <c r="H10" s="2" t="inlineStr">
        <is>
          <t>implementation_area</t>
        </is>
      </c>
      <c r="I10" s="2" t="inlineStr">
        <is>
          <t>number</t>
        </is>
      </c>
      <c r="J10" s="2" t="inlineStr">
        <is>
          <t>typical</t>
        </is>
      </c>
      <c r="K10" s="2" t="inlineStr">
        <is>
          <t>nominal</t>
        </is>
      </c>
      <c r="L10" s="2" t="inlineStr">
        <is>
          <t>review</t>
        </is>
      </c>
      <c r="M10" s="2" t="inlineStr">
        <is>
          <t>Implementation-level logic area for this physical partition.</t>
        </is>
      </c>
      <c r="N10" s="2" t="inlineStr">
        <is>
          <t>2026-05-27</t>
        </is>
      </c>
    </row>
    <row r="11">
      <c r="A11" s="2" t="inlineStr">
        <is>
          <t>M_PART_MAC_T0_TALL_SHAPE</t>
        </is>
      </c>
      <c r="B11" s="2" t="inlineStr">
        <is>
          <t>S2</t>
        </is>
      </c>
      <c r="C11" s="2" t="inlineStr">
        <is>
          <t>physical_partition</t>
        </is>
      </c>
      <c r="D11" s="2" t="inlineStr">
        <is>
          <t>PP_NPU_MAC_T0_TALL</t>
        </is>
      </c>
      <c r="E11" s="2" t="inlineStr">
        <is>
          <t>shape_type</t>
        </is>
      </c>
      <c r="F11" s="2" t="inlineStr">
        <is>
          <t>tall_rectangle</t>
        </is>
      </c>
      <c r="G11" s="2" t="inlineStr"/>
      <c r="H11" s="2" t="inlineStr">
        <is>
          <t>physical_shape</t>
        </is>
      </c>
      <c r="I11" s="2" t="inlineStr">
        <is>
          <t>text</t>
        </is>
      </c>
      <c r="J11" s="2" t="inlineStr">
        <is>
          <t>typical</t>
        </is>
      </c>
      <c r="K11" s="2" t="inlineStr">
        <is>
          <t>nominal</t>
        </is>
      </c>
      <c r="L11" s="2" t="inlineStr">
        <is>
          <t>draft</t>
        </is>
      </c>
      <c r="M11" s="2" t="inlineStr">
        <is>
          <t>Optional shape descriptor, kept out of physical_partitions.</t>
        </is>
      </c>
      <c r="N11" s="2" t="inlineStr">
        <is>
          <t>2026-05-27</t>
        </is>
      </c>
    </row>
    <row r="12">
      <c r="A12" s="2" t="inlineStr">
        <is>
          <t>M_PART_MAC_T0_WIDE_SHAPE</t>
        </is>
      </c>
      <c r="B12" s="2" t="inlineStr">
        <is>
          <t>S2</t>
        </is>
      </c>
      <c r="C12" s="2" t="inlineStr">
        <is>
          <t>physical_partition</t>
        </is>
      </c>
      <c r="D12" s="2" t="inlineStr">
        <is>
          <t>PP_NPU_MAC_T0_WIDE</t>
        </is>
      </c>
      <c r="E12" s="2" t="inlineStr">
        <is>
          <t>shape_type</t>
        </is>
      </c>
      <c r="F12" s="2" t="inlineStr">
        <is>
          <t>wide_rectangle</t>
        </is>
      </c>
      <c r="G12" s="2" t="inlineStr"/>
      <c r="H12" s="2" t="inlineStr">
        <is>
          <t>physical_shape</t>
        </is>
      </c>
      <c r="I12" s="2" t="inlineStr">
        <is>
          <t>text</t>
        </is>
      </c>
      <c r="J12" s="2" t="inlineStr">
        <is>
          <t>typical</t>
        </is>
      </c>
      <c r="K12" s="2" t="inlineStr">
        <is>
          <t>nominal</t>
        </is>
      </c>
      <c r="L12" s="2" t="inlineStr">
        <is>
          <t>draft</t>
        </is>
      </c>
      <c r="M12" s="2" t="inlineStr">
        <is>
          <t>Same logical module and die, different shape metric.</t>
        </is>
      </c>
      <c r="N12" s="2" t="inlineStr">
        <is>
          <t>2026-05-27</t>
        </is>
      </c>
    </row>
    <row r="13">
      <c r="A13" s="2" t="inlineStr">
        <is>
          <t>M_PART_MAC_T1_LOGIC_AREA</t>
        </is>
      </c>
      <c r="B13" s="2" t="inlineStr">
        <is>
          <t>S2</t>
        </is>
      </c>
      <c r="C13" s="2" t="inlineStr">
        <is>
          <t>physical_partition</t>
        </is>
      </c>
      <c r="D13" s="2" t="inlineStr">
        <is>
          <t>PP_NPU_MAC_T1_STD</t>
        </is>
      </c>
      <c r="E13" s="2" t="inlineStr">
        <is>
          <t>logic_area</t>
        </is>
      </c>
      <c r="F13" s="2" t="n">
        <v>6.2</v>
      </c>
      <c r="G13" s="2" t="inlineStr">
        <is>
          <t>mm2</t>
        </is>
      </c>
      <c r="H13" s="2" t="inlineStr">
        <is>
          <t>implementation_area</t>
        </is>
      </c>
      <c r="I13" s="2" t="inlineStr">
        <is>
          <t>number</t>
        </is>
      </c>
      <c r="J13" s="2" t="inlineStr">
        <is>
          <t>typical</t>
        </is>
      </c>
      <c r="K13" s="2" t="inlineStr">
        <is>
          <t>nominal</t>
        </is>
      </c>
      <c r="L13" s="2" t="inlineStr">
        <is>
          <t>review</t>
        </is>
      </c>
      <c r="M13" s="2" t="inlineStr">
        <is>
          <t>Implementation logic area for this middle-tier partition.</t>
        </is>
      </c>
      <c r="N13" s="2" t="inlineStr">
        <is>
          <t>2026-05-27</t>
        </is>
      </c>
    </row>
    <row r="14">
      <c r="A14" s="2" t="inlineStr">
        <is>
          <t>M_PART_GPU_LOGIC_LOGIC_AREA</t>
        </is>
      </c>
      <c r="B14" s="2" t="inlineStr">
        <is>
          <t>S2</t>
        </is>
      </c>
      <c r="C14" s="2" t="inlineStr">
        <is>
          <t>physical_partition</t>
        </is>
      </c>
      <c r="D14" s="2" t="inlineStr">
        <is>
          <t>PP_GPU_LOGIC_T0</t>
        </is>
      </c>
      <c r="E14" s="2" t="inlineStr">
        <is>
          <t>logic_area</t>
        </is>
      </c>
      <c r="F14" s="2" t="n">
        <v>12</v>
      </c>
      <c r="G14" s="2" t="inlineStr">
        <is>
          <t>mm2</t>
        </is>
      </c>
      <c r="H14" s="2" t="inlineStr">
        <is>
          <t>implementation_area</t>
        </is>
      </c>
      <c r="I14" s="2" t="inlineStr">
        <is>
          <t>number</t>
        </is>
      </c>
      <c r="J14" s="2" t="inlineStr">
        <is>
          <t>typical</t>
        </is>
      </c>
      <c r="K14" s="2" t="inlineStr">
        <is>
          <t>nominal</t>
        </is>
      </c>
      <c r="L14" s="2" t="inlineStr">
        <is>
          <t>draft</t>
        </is>
      </c>
      <c r="M14" s="2" t="inlineStr">
        <is>
          <t>Logic-side area for GPU top-tier partition.</t>
        </is>
      </c>
      <c r="N14" s="2" t="inlineStr">
        <is>
          <t>2026-05-27</t>
        </is>
      </c>
    </row>
    <row r="15">
      <c r="A15" s="2" t="inlineStr">
        <is>
          <t>M_PART_GPU_CACHE_SRAM_AREA</t>
        </is>
      </c>
      <c r="B15" s="2" t="inlineStr">
        <is>
          <t>S2</t>
        </is>
      </c>
      <c r="C15" s="2" t="inlineStr">
        <is>
          <t>physical_partition</t>
        </is>
      </c>
      <c r="D15" s="2" t="inlineStr">
        <is>
          <t>PP_GPU_CACHE_T1</t>
        </is>
      </c>
      <c r="E15" s="2" t="inlineStr">
        <is>
          <t>sram_area</t>
        </is>
      </c>
      <c r="F15" s="2" t="n">
        <v>6.7</v>
      </c>
      <c r="G15" s="2" t="inlineStr">
        <is>
          <t>mm2</t>
        </is>
      </c>
      <c r="H15" s="2" t="inlineStr">
        <is>
          <t>implementation_area</t>
        </is>
      </c>
      <c r="I15" s="2" t="inlineStr">
        <is>
          <t>number</t>
        </is>
      </c>
      <c r="J15" s="2" t="inlineStr">
        <is>
          <t>typical</t>
        </is>
      </c>
      <c r="K15" s="2" t="inlineStr">
        <is>
          <t>nominal</t>
        </is>
      </c>
      <c r="L15" s="2" t="inlineStr">
        <is>
          <t>draft</t>
        </is>
      </c>
      <c r="M15" s="2" t="inlineStr">
        <is>
          <t>SRAM/cache-side area for GPU middle-tier partition.</t>
        </is>
      </c>
      <c r="N15" s="2" t="inlineStr">
        <is>
          <t>2026-05-27</t>
        </is>
      </c>
    </row>
    <row r="16">
      <c r="A16" s="2" t="inlineStr">
        <is>
          <t>M_PART_GPU_LOGIC_POWER</t>
        </is>
      </c>
      <c r="B16" s="2" t="inlineStr">
        <is>
          <t>S2</t>
        </is>
      </c>
      <c r="C16" s="2" t="inlineStr">
        <is>
          <t>physical_partition</t>
        </is>
      </c>
      <c r="D16" s="2" t="inlineStr">
        <is>
          <t>PP_GPU_LOGIC_T0</t>
        </is>
      </c>
      <c r="E16" s="2" t="inlineStr">
        <is>
          <t>power</t>
        </is>
      </c>
      <c r="F16" s="2" t="n">
        <v>3.6</v>
      </c>
      <c r="G16" s="2" t="inlineStr">
        <is>
          <t>W</t>
        </is>
      </c>
      <c r="H16" s="2" t="inlineStr">
        <is>
          <t>power</t>
        </is>
      </c>
      <c r="I16" s="2" t="inlineStr">
        <is>
          <t>number</t>
        </is>
      </c>
      <c r="J16" s="2" t="inlineStr">
        <is>
          <t>typical</t>
        </is>
      </c>
      <c r="K16" s="2" t="inlineStr">
        <is>
          <t>peak</t>
        </is>
      </c>
      <c r="L16" s="2" t="inlineStr">
        <is>
          <t>draft</t>
        </is>
      </c>
      <c r="M16" s="2" t="inlineStr">
        <is>
          <t>Power estimate for GPU logic partition.</t>
        </is>
      </c>
      <c r="N16" s="2" t="inlineStr">
        <is>
          <t>2026-05-27</t>
        </is>
      </c>
    </row>
    <row r="17">
      <c r="A17" s="2" t="inlineStr">
        <is>
          <t>M_TIER_T0_POWER</t>
        </is>
      </c>
      <c r="B17" s="2" t="inlineStr">
        <is>
          <t>S2</t>
        </is>
      </c>
      <c r="C17" s="2" t="inlineStr">
        <is>
          <t>tier</t>
        </is>
      </c>
      <c r="D17" s="2" t="inlineStr">
        <is>
          <t>T0</t>
        </is>
      </c>
      <c r="E17" s="2" t="inlineStr">
        <is>
          <t>power</t>
        </is>
      </c>
      <c r="F17" s="2" t="n">
        <v>7.6</v>
      </c>
      <c r="G17" s="2" t="inlineStr">
        <is>
          <t>W</t>
        </is>
      </c>
      <c r="H17" s="2" t="inlineStr">
        <is>
          <t>power</t>
        </is>
      </c>
      <c r="I17" s="2" t="inlineStr">
        <is>
          <t>number</t>
        </is>
      </c>
      <c r="J17" s="2" t="inlineStr">
        <is>
          <t>typical</t>
        </is>
      </c>
      <c r="K17" s="2" t="inlineStr">
        <is>
          <t>peak</t>
        </is>
      </c>
      <c r="L17" s="2" t="inlineStr">
        <is>
          <t>draft</t>
        </is>
      </c>
      <c r="M17" s="2" t="inlineStr">
        <is>
          <t>Tier-level rollup or target.</t>
        </is>
      </c>
      <c r="N17" s="2" t="inlineStr">
        <is>
          <t>2026-05-27</t>
        </is>
      </c>
    </row>
    <row r="18">
      <c r="A18" s="2" t="inlineStr">
        <is>
          <t>M_SCENARIO_AREA</t>
        </is>
      </c>
      <c r="B18" s="2" t="inlineStr">
        <is>
          <t>S2</t>
        </is>
      </c>
      <c r="C18" s="2" t="inlineStr">
        <is>
          <t>scenario</t>
        </is>
      </c>
      <c r="D18" s="2" t="inlineStr">
        <is>
          <t>S2</t>
        </is>
      </c>
      <c r="E18" s="2" t="inlineStr">
        <is>
          <t>area</t>
        </is>
      </c>
      <c r="F18" s="2" t="n">
        <v>74.59999999999999</v>
      </c>
      <c r="G18" s="2" t="inlineStr">
        <is>
          <t>mm2</t>
        </is>
      </c>
      <c r="H18" s="2" t="inlineStr">
        <is>
          <t>physical</t>
        </is>
      </c>
      <c r="I18" s="2" t="inlineStr">
        <is>
          <t>number</t>
        </is>
      </c>
      <c r="J18" s="2" t="inlineStr">
        <is>
          <t>typical</t>
        </is>
      </c>
      <c r="K18" s="2" t="inlineStr">
        <is>
          <t>nominal</t>
        </is>
      </c>
      <c r="L18" s="2" t="inlineStr">
        <is>
          <t>draft</t>
        </is>
      </c>
      <c r="M18" s="2" t="inlineStr">
        <is>
          <t>Scenario-level summary estimate.</t>
        </is>
      </c>
      <c r="N18" s="2" t="inlineStr">
        <is>
          <t>2026-05-27</t>
        </is>
      </c>
    </row>
  </sheetData>
  <autoFilter ref="A1:N18"/>
  <dataValidations count="3">
    <dataValidation sqref="C2:C200" showDropDown="0" showInputMessage="0" showErrorMessage="0" allowBlank="0" type="list">
      <formula1>"logical_component,physical_partition,tier,scenario"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signal_count_total</t>
        </is>
      </c>
      <c r="B2" s="2" t="inlineStr">
        <is>
          <t>number</t>
        </is>
      </c>
      <c r="C2" s="2" t="inlineStr">
        <is>
          <t>count</t>
        </is>
      </c>
      <c r="D2" s="2" t="inlineStr">
        <is>
          <t>logical</t>
        </is>
      </c>
      <c r="E2" s="2" t="inlineStr">
        <is>
          <t>logical_component</t>
        </is>
      </c>
      <c r="F2" s="2" t="inlineStr">
        <is>
          <t>Total signal count for the logical module. Phase 1 does not split input/output/inout.</t>
        </is>
      </c>
    </row>
    <row r="3">
      <c r="A3" s="2" t="inlineStr">
        <is>
          <t>logic_area</t>
        </is>
      </c>
      <c r="B3" s="2" t="inlineStr">
        <is>
          <t>number</t>
        </is>
      </c>
      <c r="C3" s="2" t="inlineStr">
        <is>
          <t>mm2</t>
        </is>
      </c>
      <c r="D3" s="2" t="inlineStr">
        <is>
          <t>logical_area</t>
        </is>
      </c>
      <c r="E3" s="2" t="inlineStr">
        <is>
          <t>logical_component</t>
        </is>
      </c>
      <c r="F3" s="2" t="inlineStr">
        <is>
          <t>Logical module logic-only area estimate.</t>
        </is>
      </c>
    </row>
    <row r="4">
      <c r="A4" s="2" t="inlineStr">
        <is>
          <t>sram_area</t>
        </is>
      </c>
      <c r="B4" s="2" t="inlineStr">
        <is>
          <t>number</t>
        </is>
      </c>
      <c r="C4" s="2" t="inlineStr">
        <is>
          <t>mm2</t>
        </is>
      </c>
      <c r="D4" s="2" t="inlineStr">
        <is>
          <t>logical_area</t>
        </is>
      </c>
      <c r="E4" s="2" t="inlineStr">
        <is>
          <t>logical_component</t>
        </is>
      </c>
      <c r="F4" s="2" t="inlineStr">
        <is>
          <t>Logical module SRAM-only area estimate.</t>
        </is>
      </c>
    </row>
    <row r="5">
      <c r="A5" s="2" t="inlineStr">
        <is>
          <t>block_area</t>
        </is>
      </c>
      <c r="B5" s="2" t="inlineStr">
        <is>
          <t>number</t>
        </is>
      </c>
      <c r="C5" s="2" t="inlineStr">
        <is>
          <t>mm2</t>
        </is>
      </c>
      <c r="D5" s="2" t="inlineStr">
        <is>
          <t>logical_area</t>
        </is>
      </c>
      <c r="E5" s="2" t="inlineStr">
        <is>
          <t>logical_component</t>
        </is>
      </c>
      <c r="F5" s="2" t="inlineStr">
        <is>
          <t>Logical module total block area estimate, including early overhead.</t>
        </is>
      </c>
    </row>
    <row r="6">
      <c r="A6" s="2" t="inlineStr">
        <is>
          <t>area</t>
        </is>
      </c>
      <c r="B6" s="2" t="inlineStr">
        <is>
          <t>number</t>
        </is>
      </c>
      <c r="C6" s="2" t="inlineStr">
        <is>
          <t>mm2</t>
        </is>
      </c>
      <c r="D6" s="2" t="inlineStr">
        <is>
          <t>physical</t>
        </is>
      </c>
      <c r="E6" s="2" t="inlineStr">
        <is>
          <t>tier,scenario</t>
        </is>
      </c>
      <c r="F6" s="2" t="inlineStr">
        <is>
          <t>Tier or scenario area estimate. Logical modules and physical partitions use logic_area/sram_area/block_area.</t>
        </is>
      </c>
    </row>
    <row r="7">
      <c r="A7" s="2" t="inlineStr">
        <is>
          <t>power</t>
        </is>
      </c>
      <c r="B7" s="2" t="inlineStr">
        <is>
          <t>number</t>
        </is>
      </c>
      <c r="C7" s="2" t="inlineStr">
        <is>
          <t>W</t>
        </is>
      </c>
      <c r="D7" s="2" t="inlineStr">
        <is>
          <t>power</t>
        </is>
      </c>
      <c r="E7" s="2" t="inlineStr">
        <is>
          <t>logical_component,physical_partition,tier,scenario</t>
        </is>
      </c>
      <c r="F7" s="2" t="inlineStr">
        <is>
          <t>Power estimate.</t>
        </is>
      </c>
    </row>
    <row r="8">
      <c r="A8" s="2" t="inlineStr">
        <is>
          <t>memoryMb</t>
        </is>
      </c>
      <c r="B8" s="2" t="inlineStr">
        <is>
          <t>number</t>
        </is>
      </c>
      <c r="C8" s="2" t="inlineStr">
        <is>
          <t>Mb</t>
        </is>
      </c>
      <c r="D8" s="2" t="inlineStr">
        <is>
          <t>memory</t>
        </is>
      </c>
      <c r="E8" s="2" t="inlineStr">
        <is>
          <t>logical_component,physical_partition</t>
        </is>
      </c>
      <c r="F8" s="2" t="inlineStr">
        <is>
          <t>Memory capacity.</t>
        </is>
      </c>
    </row>
    <row r="9">
      <c r="A9" s="2" t="inlineStr">
        <is>
          <t>shape_type</t>
        </is>
      </c>
      <c r="B9" s="2" t="inlineStr">
        <is>
          <t>text</t>
        </is>
      </c>
      <c r="C9" s="2" t="inlineStr"/>
      <c r="D9" s="2" t="inlineStr">
        <is>
          <t>physical_shape</t>
        </is>
      </c>
      <c r="E9" s="2" t="inlineStr">
        <is>
          <t>physical_partition</t>
        </is>
      </c>
      <c r="F9" s="2" t="inlineStr">
        <is>
          <t>Optional early shape descriptor, not a required partition column.</t>
        </is>
      </c>
    </row>
    <row r="10">
      <c r="A10" s="2" t="inlineStr">
        <is>
          <t>width_mm</t>
        </is>
      </c>
      <c r="B10" s="2" t="inlineStr">
        <is>
          <t>number</t>
        </is>
      </c>
      <c r="C10" s="2" t="inlineStr">
        <is>
          <t>mm</t>
        </is>
      </c>
      <c r="D10" s="2" t="inlineStr">
        <is>
          <t>physical_shape</t>
        </is>
      </c>
      <c r="E10" s="2" t="inlineStr">
        <is>
          <t>physical_partition</t>
        </is>
      </c>
      <c r="F10" s="2" t="inlineStr">
        <is>
          <t>Optional width metric when floorplan detail becomes available.</t>
        </is>
      </c>
    </row>
    <row r="11">
      <c r="A11" s="2" t="inlineStr">
        <is>
          <t>height_mm</t>
        </is>
      </c>
      <c r="B11" s="2" t="inlineStr">
        <is>
          <t>number</t>
        </is>
      </c>
      <c r="C11" s="2" t="inlineStr">
        <is>
          <t>mm</t>
        </is>
      </c>
      <c r="D11" s="2" t="inlineStr">
        <is>
          <t>physical_shape</t>
        </is>
      </c>
      <c r="E11" s="2" t="inlineStr">
        <is>
          <t>physical_partition</t>
        </is>
      </c>
      <c r="F11" s="2" t="inlineStr">
        <is>
          <t>Optional height metric when floorplan detail becomes available.</t>
        </is>
      </c>
    </row>
    <row r="12">
      <c r="A12" s="2" t="inlineStr">
        <is>
          <t>utilization</t>
        </is>
      </c>
      <c r="B12" s="2" t="inlineStr">
        <is>
          <t>number</t>
        </is>
      </c>
      <c r="C12" s="2" t="inlineStr">
        <is>
          <t>%</t>
        </is>
      </c>
      <c r="D12" s="2" t="inlineStr">
        <is>
          <t>physical</t>
        </is>
      </c>
      <c r="E12" s="2" t="inlineStr">
        <is>
          <t>physical_partition,tier</t>
        </is>
      </c>
      <c r="F12" s="2" t="inlineStr">
        <is>
          <t>Optional utilization estimate.</t>
        </is>
      </c>
    </row>
  </sheetData>
  <autoFilter ref="A1:F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v7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Physical count is explicit</t>
        </is>
      </c>
      <c r="B3" s="2" t="inlineStr">
        <is>
          <t>physical_partitions maps B30 into physical_instance_count 1 + 1 + 2 = 4 across T0/T0/T1.</t>
        </is>
      </c>
    </row>
    <row r="4">
      <c r="A4" s="2" t="inlineStr">
        <is>
          <t>Logical table stays compact</t>
        </is>
      </c>
      <c r="B4" s="2" t="inlineStr">
        <is>
          <t>Signal count and logical area breakdowns live in metrics with subject_type=logical_component.</t>
        </is>
      </c>
    </row>
    <row r="5">
      <c r="A5" s="2" t="inlineStr">
        <is>
          <t>Logical area uses three explicit metrics</t>
        </is>
      </c>
      <c r="B5" s="2" t="inlineStr">
        <is>
          <t>logic_area, sram_area, and block_area avoid ambiguous overlap with implementation-level area.</t>
        </is>
      </c>
    </row>
    <row r="6">
      <c r="A6" s="2" t="inlineStr">
        <is>
          <t>Physical partition ratio is simple</t>
        </is>
      </c>
      <c r="B6" s="2" t="inlineStr">
        <is>
          <t>B30 NPU_MAC_ARRAY maps to three physical_partitions with ratios 0.25, 0.25, and 0.50, matching 1/4, 1/4, and 2/4 physical counts.</t>
        </is>
      </c>
    </row>
    <row r="7">
      <c r="A7" s="2" t="inlineStr">
        <is>
          <t>Same die has different physical styles</t>
        </is>
      </c>
      <c r="B7" s="2" t="inlineStr">
        <is>
          <t>PP_NPU_MAC_T0_TALL and PP_NPU_MAC_T0_WIDE are two partition rows; shape details are optional metrics.</t>
        </is>
      </c>
    </row>
    <row r="8">
      <c r="A8" s="2" t="inlineStr">
        <is>
          <t>One logical module is partitioned across dies</t>
        </is>
      </c>
      <c r="B8" s="2" t="inlineStr">
        <is>
          <t>B2 GPU_TOP maps to PP_GPU_LOGIC_T0 and PP_GPU_CACHE_T1 with partition_ratio 0.65 and 0.35.</t>
        </is>
      </c>
    </row>
    <row r="9">
      <c r="A9" s="2" t="inlineStr">
        <is>
          <t>Residual subsystem partition</t>
        </is>
      </c>
      <c r="B9" s="2" t="inlineStr">
        <is>
          <t>B3 NPU_TOP can have PP_NPU_TOP_RESIDUAL_T0 for glue/control/interconnect not represented by child modules.</t>
        </is>
      </c>
    </row>
    <row r="10">
      <c r="A10" s="2" t="inlineStr">
        <is>
          <t>Metrics avoid overlap</t>
        </is>
      </c>
      <c r="B10" s="2" t="inlineStr">
        <is>
          <t>The same metric_name can appear at logical_component, physical_partition, tier, or scenario level; subject_type defines meaning.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24" customWidth="1" min="4" max="4"/>
    <col width="44" customWidth="1" min="5" max="5"/>
    <col width="44" customWidth="1" min="6" max="6"/>
    <col width="25" customWidth="1" min="7" max="7"/>
    <col width="36" customWidth="1" min="8" max="8"/>
    <col width="44" customWidth="1" min="9" max="9"/>
  </cols>
  <sheetData>
    <row r="1">
      <c r="A1" s="1" t="inlineStr">
        <is>
          <t>scenario_id</t>
        </is>
      </c>
      <c r="B1" s="1" t="inlineStr">
        <is>
          <t>logical_component_id</t>
        </is>
      </c>
      <c r="C1" s="1" t="inlineStr">
        <is>
          <t>logical_name</t>
        </is>
      </c>
      <c r="D1" s="1" t="inlineStr">
        <is>
          <t>logical_instance_count</t>
        </is>
      </c>
      <c r="E1" s="1" t="inlineStr">
        <is>
          <t>sum_physical_instance_count</t>
        </is>
      </c>
      <c r="F1" s="1" t="inlineStr">
        <is>
          <t>sum_partition_ratio</t>
        </is>
      </c>
      <c r="G1" s="1" t="inlineStr">
        <is>
          <t>count_status</t>
        </is>
      </c>
      <c r="H1" s="1" t="inlineStr">
        <is>
          <t>ratio_status</t>
        </is>
      </c>
      <c r="I1" s="1" t="inlineStr">
        <is>
          <t>note</t>
        </is>
      </c>
    </row>
    <row r="2">
      <c r="A2" s="2" t="inlineStr">
        <is>
          <t>S2</t>
        </is>
      </c>
      <c r="B2" s="2" t="inlineStr">
        <is>
          <t>B30</t>
        </is>
      </c>
      <c r="C2" s="2" t="inlineStr">
        <is>
          <t>NPU_MAC_ARRAY</t>
        </is>
      </c>
      <c r="D2" s="2" t="n">
        <v>4</v>
      </c>
      <c r="E2" s="2">
        <f>SUMIFS(physical_partitions!$G$2:$G$100,physical_partitions!$B$2:$B$100,A2,physical_partitions!$C$2:$C$100,B2)</f>
        <v/>
      </c>
      <c r="F2" s="2">
        <f>SUMIFS(physical_partitions!$H$2:$H$100,physical_partitions!$B$2:$B$100,A2,physical_partitions!$C$2:$C$100,B2)</f>
        <v/>
      </c>
      <c r="G2" s="2">
        <f>IF(D2=E2,"OK","CHECK")</f>
        <v/>
      </c>
      <c r="H2" s="2">
        <f>IF(ABS(F2-1)&lt;0.0001,"OK","CHECK")</f>
        <v/>
      </c>
      <c r="I2" s="2" t="inlineStr">
        <is>
          <t>Repeated full module: four logical copies are realized as 1 + 1 + 2 physical copies across tiers.</t>
        </is>
      </c>
    </row>
    <row r="3">
      <c r="A3" s="2" t="inlineStr">
        <is>
          <t>S2</t>
        </is>
      </c>
      <c r="B3" s="2" t="inlineStr">
        <is>
          <t>B8</t>
        </is>
      </c>
      <c r="C3" s="2" t="inlineStr">
        <is>
          <t>NPU_SRAM_BANK</t>
        </is>
      </c>
      <c r="D3" s="2" t="n">
        <v>2</v>
      </c>
      <c r="E3" s="2">
        <f>SUMIFS(physical_partitions!$G$2:$G$100,physical_partitions!$B$2:$B$100,A3,physical_partitions!$C$2:$C$100,B3)</f>
        <v/>
      </c>
      <c r="F3" s="2">
        <f>SUMIFS(physical_partitions!$H$2:$H$100,physical_partitions!$B$2:$B$100,A3,physical_partitions!$C$2:$C$100,B3)</f>
        <v/>
      </c>
      <c r="G3" s="2">
        <f>IF(D3=E3,"OK","CHECK")</f>
        <v/>
      </c>
      <c r="H3" s="2">
        <f>IF(ABS(F3-1)&lt;0.0001,"OK","CHECK")</f>
        <v/>
      </c>
      <c r="I3" s="2" t="inlineStr">
        <is>
          <t>Two SRAM bank copies are both implemented on T1.</t>
        </is>
      </c>
    </row>
    <row r="4">
      <c r="A4" s="2" t="inlineStr">
        <is>
          <t>S2</t>
        </is>
      </c>
      <c r="B4" s="2" t="inlineStr">
        <is>
          <t>B2</t>
        </is>
      </c>
      <c r="C4" s="2" t="inlineStr">
        <is>
          <t>GPU_TOP</t>
        </is>
      </c>
      <c r="D4" s="2" t="n">
        <v>1</v>
      </c>
      <c r="E4" s="2">
        <f>SUMIFS(physical_partitions!$G$2:$G$100,physical_partitions!$B$2:$B$100,A4,physical_partitions!$C$2:$C$100,B4)</f>
        <v/>
      </c>
      <c r="F4" s="2">
        <f>SUMIFS(physical_partitions!$H$2:$H$100,physical_partitions!$B$2:$B$100,A4,physical_partitions!$C$2:$C$100,B4)</f>
        <v/>
      </c>
      <c r="G4" s="2">
        <f>IF(D4=E4,"OK","CHECK")</f>
        <v/>
      </c>
      <c r="H4" s="2">
        <f>IF(ABS(F4-1)&lt;0.0001,"OK","CHECK")</f>
        <v/>
      </c>
      <c r="I4" s="2" t="inlineStr">
        <is>
          <t>Single logical subsystem split by content ratio across two tiers.</t>
        </is>
      </c>
    </row>
    <row r="5">
      <c r="A5" s="2" t="inlineStr">
        <is>
          <t>S2</t>
        </is>
      </c>
      <c r="B5" s="2" t="inlineStr">
        <is>
          <t>B3</t>
        </is>
      </c>
      <c r="C5" s="2" t="inlineStr">
        <is>
          <t>NPU_TOP</t>
        </is>
      </c>
      <c r="D5" s="2" t="n">
        <v>1</v>
      </c>
      <c r="E5" s="2">
        <f>SUMIFS(physical_partitions!$G$2:$G$100,physical_partitions!$B$2:$B$100,A5,physical_partitions!$C$2:$C$100,B5)</f>
        <v/>
      </c>
      <c r="F5" s="2">
        <f>SUMIFS(physical_partitions!$H$2:$H$100,physical_partitions!$B$2:$B$100,A5,physical_partitions!$C$2:$C$100,B5)</f>
        <v/>
      </c>
      <c r="G5" s="2">
        <f>IF(D5=E5,"OK","CHECK")</f>
        <v/>
      </c>
      <c r="H5" s="2">
        <f>IF(ABS(F5-1)&lt;0.0001,"OK","CHECK")</f>
        <v/>
      </c>
      <c r="I5" s="2" t="inlineStr">
        <is>
          <t>Residual parent partition only covers glue/control not represented by child rows.</t>
        </is>
      </c>
    </row>
    <row r="6">
      <c r="A6" s="2" t="inlineStr">
        <is>
          <t>S2</t>
        </is>
      </c>
      <c r="B6" s="2" t="inlineStr">
        <is>
          <t>B5</t>
        </is>
      </c>
      <c r="C6" s="2" t="inlineStr">
        <is>
          <t>DDR_PHY</t>
        </is>
      </c>
      <c r="D6" s="2" t="n">
        <v>1</v>
      </c>
      <c r="E6" s="2">
        <f>SUMIFS(physical_partitions!$G$2:$G$100,physical_partitions!$B$2:$B$100,A6,physical_partitions!$C$2:$C$100,B6)</f>
        <v/>
      </c>
      <c r="F6" s="2">
        <f>SUMIFS(physical_partitions!$H$2:$H$100,physical_partitions!$B$2:$B$100,A6,physical_partitions!$C$2:$C$100,B6)</f>
        <v/>
      </c>
      <c r="G6" s="2">
        <f>IF(D6=E6,"OK","CHECK")</f>
        <v/>
      </c>
      <c r="H6" s="2">
        <f>IF(ABS(F6-1)&lt;0.0001,"OK","CHECK")</f>
        <v/>
      </c>
      <c r="I6" s="2" t="inlineStr">
        <is>
          <t>Fixed PHY has one logical copy and one physical partition.</t>
        </is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2026-06-04T02:54:45Z</dcterms:created>
  <dcterms:modified xsi:type="dcterms:W3CDTF">2026-06-04T02:54:45Z</dcterms:modified>
</cp:coreProperties>
</file>