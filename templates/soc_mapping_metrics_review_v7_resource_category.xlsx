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module_definitions" sheetId="2" state="visible" r:id="rId2"/>
    <sheet name="projects" sheetId="3" state="visible" r:id="rId3"/>
    <sheet name="scenarios" sheetId="4" state="visible" r:id="rId4"/>
    <sheet name="tiers" sheetId="5" state="visible" r:id="rId5"/>
    <sheet name="logical_components" sheetId="6" state="visible" r:id="rId6"/>
    <sheet name="physical_partitions" sheetId="7" state="visible" r:id="rId7"/>
    <sheet name="metrics" sheetId="8" state="visible" r:id="rId8"/>
    <sheet name="metric_dictionary" sheetId="9" state="visible" r:id="rId9"/>
    <sheet name="relationship_examples" sheetId="10" state="visible" r:id="rId10"/>
    <sheet name="coverage_checks" sheetId="11" state="visible" r:id="rId11"/>
  </sheets>
  <definedNames>
    <definedName name="_xlnm._FilterDatabase" localSheetId="0" hidden="1">'instructions'!$A$1:$B$19</definedName>
    <definedName name="_xlnm._FilterDatabase" localSheetId="1" hidden="1">'module_definitions'!$A$1:$F$5</definedName>
    <definedName name="_xlnm._FilterDatabase" localSheetId="2" hidden="1">'projects'!$A$1:$F$2</definedName>
    <definedName name="_xlnm._FilterDatabase" localSheetId="3" hidden="1">'scenarios'!$A$1:$F$2</definedName>
    <definedName name="_xlnm._FilterDatabase" localSheetId="4" hidden="1">'tiers'!$A$1:$H$4</definedName>
    <definedName name="_xlnm._FilterDatabase" localSheetId="5" hidden="1">'logical_components'!$A$1:$K$7</definedName>
    <definedName name="_xlnm._FilterDatabase" localSheetId="6" hidden="1">'physical_partitions'!$A$1:$J$9</definedName>
    <definedName name="_xlnm._FilterDatabase" localSheetId="7" hidden="1">'metrics'!$A$1:$N$18</definedName>
    <definedName name="_xlnm._FilterDatabase" localSheetId="8" hidden="1">'metric_dictionary'!$A$1:$F$12</definedName>
    <definedName name="_xlnm._FilterDatabase" localSheetId="9" hidden="1">'relationship_examples'!$A$1:$B$10</definedName>
    <definedName name="_xlnm._FilterDatabase" localSheetId="10" hidden="1">'coverage_checks'!$A$1:$H$6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ables/table1.xml><?xml version="1.0" encoding="utf-8"?>
<table xmlns="http://schemas.openxmlformats.org/spreadsheetml/2006/main" id="1" name="module_definitions_table" displayName="module_definitions_table" ref="A1:F5" headerRowCount="1">
  <autoFilter ref="A1:F5"/>
  <tableColumns count="6">
    <tableColumn id="1" name="id"/>
    <tableColumn id="2" name="name"/>
    <tableColumn id="3" name="module_type"/>
    <tableColumn id="4" name="ip_owner"/>
    <tableColumn id="5" name="reuse_class"/>
    <tableColumn id="6" name="description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projects_table" displayName="projects_table" ref="A1:F2" headerRowCount="1">
  <autoFilter ref="A1:F2"/>
  <tableColumns count="6">
    <tableColumn id="1" name="id"/>
    <tableColumn id="2" name="name"/>
    <tableColumn id="3" name="product_family"/>
    <tableColumn id="4" name="generation"/>
    <tableColumn id="5" name="owner"/>
    <tableColumn id="6" name="phase"/>
  </tableColumns>
  <tableStyleInfo name="TableStyleMedium2" showRowStripes="1" showColumnStripes="0"/>
</table>
</file>

<file path=xl/tables/table3.xml><?xml version="1.0" encoding="utf-8"?>
<table xmlns="http://schemas.openxmlformats.org/spreadsheetml/2006/main" id="3" name="scenarios_table" displayName="scenarios_table" ref="A1:F2" headerRowCount="1">
  <autoFilter ref="A1:F2"/>
  <tableColumns count="6">
    <tableColumn id="1" name="id"/>
    <tableColumn id="2" name="project_id"/>
    <tableColumn id="3" name="name"/>
    <tableColumn id="4" name="scenario_type"/>
    <tableColumn id="5" name="process_combo"/>
    <tableColumn id="6" name="status"/>
  </tableColumns>
  <tableStyleInfo name="TableStyleMedium2" showRowStripes="1" showColumnStripes="0"/>
</table>
</file>

<file path=xl/tables/table4.xml><?xml version="1.0" encoding="utf-8"?>
<table xmlns="http://schemas.openxmlformats.org/spreadsheetml/2006/main" id="4" name="tiers_table" displayName="tiers_table" ref="A1:H4" headerRowCount="1">
  <autoFilter ref="A1:H4"/>
  <tableColumns count="8">
    <tableColumn id="1" name="id"/>
    <tableColumn id="2" name="scenario_id"/>
    <tableColumn id="3" name="tier_index"/>
    <tableColumn id="4" name="name"/>
    <tableColumn id="5" name="process_id"/>
    <tableColumn id="6" name="role"/>
    <tableColumn id="7" name="orientation"/>
    <tableColumn id="8" name="area_limit_mm2"/>
  </tableColumns>
  <tableStyleInfo name="TableStyleMedium2" showRowStripes="1" showColumnStripes="0"/>
</table>
</file>

<file path=xl/tables/table5.xml><?xml version="1.0" encoding="utf-8"?>
<table xmlns="http://schemas.openxmlformats.org/spreadsheetml/2006/main" id="5" name="logical_components_table" displayName="logical_components_table" ref="A1:K7" headerRowCount="1">
  <autoFilter ref="A1:K7"/>
  <tableColumns count="11">
    <tableColumn id="1" name="id"/>
    <tableColumn id="2" name="project_id"/>
    <tableColumn id="3" name="parent_id"/>
    <tableColumn id="4" name="module_definition_id"/>
    <tableColumn id="5" name="name"/>
    <tableColumn id="6" name="instance_type"/>
    <tableColumn id="7" name="resource_type"/>
    <tableColumn id="8" name="function_domain"/>
    <tableColumn id="9" name="hierarchy_path"/>
    <tableColumn id="10" name="logical_instance_count"/>
    <tableColumn id="11" name="description"/>
  </tableColumns>
  <tableStyleInfo name="TableStyleMedium2" showRowStripes="1" showColumnStripes="0"/>
</table>
</file>

<file path=xl/tables/table6.xml><?xml version="1.0" encoding="utf-8"?>
<table xmlns="http://schemas.openxmlformats.org/spreadsheetml/2006/main" id="6" name="physical_partitions_table" displayName="physical_partitions_table" ref="A1:J9" headerRowCount="1">
  <autoFilter ref="A1:J9"/>
  <tableColumns count="10">
    <tableColumn id="1" name="id"/>
    <tableColumn id="2" name="scenario_id"/>
    <tableColumn id="3" name="logical_component_id"/>
    <tableColumn id="4" name="tier_id"/>
    <tableColumn id="5" name="partition_name"/>
    <tableColumn id="6" name="resource_category"/>
    <tableColumn id="7" name="partition_type"/>
    <tableColumn id="8" name="physical_instance_count"/>
    <tableColumn id="9" name="content_share"/>
    <tableColumn id="10" name="description"/>
  </tableColumns>
  <tableStyleInfo name="TableStyleMedium2" showRowStripes="1" showColumnStripes="0"/>
</table>
</file>

<file path=xl/tables/table7.xml><?xml version="1.0" encoding="utf-8"?>
<table xmlns="http://schemas.openxmlformats.org/spreadsheetml/2006/main" id="7" name="metrics_table" displayName="metrics_table" ref="A1:N18" headerRowCount="1">
  <autoFilter ref="A1:N18"/>
  <tableColumns count="14">
    <tableColumn id="1" name="id"/>
    <tableColumn id="2" name="scenario_id"/>
    <tableColumn id="3" name="subject_type"/>
    <tableColumn id="4" name="subject_id"/>
    <tableColumn id="5" name="metric_name"/>
    <tableColumn id="6" name="metric_value"/>
    <tableColumn id="7" name="metric_unit"/>
    <tableColumn id="8" name="metric_category"/>
    <tableColumn id="9" name="value_type"/>
    <tableColumn id="10" name="corner"/>
    <tableColumn id="11" name="workload"/>
    <tableColumn id="12" name="confidence"/>
    <tableColumn id="13" name="source_note"/>
    <tableColumn id="14" name="created_at"/>
  </tableColumns>
  <tableStyleInfo name="TableStyleMedium2" showRowStripes="1" showColumnStripes="0"/>
</table>
</file>

<file path=xl/tables/table8.xml><?xml version="1.0" encoding="utf-8"?>
<table xmlns="http://schemas.openxmlformats.org/spreadsheetml/2006/main" id="8" name="metric_dictionary_table" displayName="metric_dictionary_table" ref="A1:F12" headerRowCount="1">
  <autoFilter ref="A1:F12"/>
  <tableColumns count="6">
    <tableColumn id="1" name="metric_name"/>
    <tableColumn id="2" name="value_type"/>
    <tableColumn id="3" name="default_unit"/>
    <tableColumn id="4" name="metric_category"/>
    <tableColumn id="5" name="applies_to_subject_types"/>
    <tableColumn id="6" name="description"/>
  </tableColumns>
  <tableStyleInfo name="TableStyleMedium2" showRowStripes="1" showColumnStripes="0"/>
</table>
</file>

<file path=xl/tables/table9.xml><?xml version="1.0" encoding="utf-8"?>
<table xmlns="http://schemas.openxmlformats.org/spreadsheetml/2006/main" id="9" name="relationship_examples_table" displayName="relationship_examples_table" ref="A1:B10" headerRowCount="1">
  <autoFilter ref="A1:B10"/>
  <tableColumns count="2">
    <tableColumn id="1" name="Question"/>
    <tableColumn id="2" name="How v7 represents it"/>
  </tableColumns>
  <tableStyleInfo name="TableStyleMedium2" showRowStripes="1" showColumnStripes="0"/>
</table>
</file>

<file path=xl/tables/table10.xml><?xml version="1.0" encoding="utf-8"?>
<table xmlns="http://schemas.openxmlformats.org/spreadsheetml/2006/main" id="10" name="coverage_checks_table" displayName="coverage_checks_table" ref="A1:H6" headerRowCount="1">
  <autoFilter ref="A1:H6"/>
  <tableColumns count="8">
    <tableColumn id="1" name="scenario_id"/>
    <tableColumn id="2" name="logical_component_id"/>
    <tableColumn id="3" name="resource_category"/>
    <tableColumn id="4" name="logical_name"/>
    <tableColumn id="5" name="logical_instance_count"/>
    <tableColumn id="6" name="equivalent_instances"/>
    <tableColumn id="7" name="status"/>
    <tableColumn id="8" name="note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4" customWidth="1" min="2" max="2"/>
  </cols>
  <sheetData>
    <row r="1">
      <c r="A1" s="1" t="inlineStr">
        <is>
          <t>SoC Mapping + Metrics Review Workbook v7</t>
        </is>
      </c>
      <c r="B1" s="1" t="n"/>
    </row>
    <row r="2">
      <c r="A2" s="2" t="inlineStr">
        <is>
          <t>Purpose</t>
        </is>
      </c>
      <c r="B2" s="2" t="inlineStr">
        <is>
          <t>Review a compact early-stage data model: logical_components stays focused on hierarchy and logical instance count, physical_partitions describe logical-to-die partitioning plus physical count, and metrics carries all quantitative/details data.</t>
        </is>
      </c>
    </row>
    <row r="3">
      <c r="A3" s="2" t="inlineStr"/>
      <c r="B3" s="2" t="n"/>
    </row>
    <row r="4">
      <c r="A4" s="2" t="inlineStr">
        <is>
          <t>Sheet</t>
        </is>
      </c>
      <c r="B4" s="2" t="inlineStr">
        <is>
          <t>Meaning</t>
        </is>
      </c>
    </row>
    <row r="5">
      <c r="A5" s="2" t="inlineStr">
        <is>
          <t>module_definitions</t>
        </is>
      </c>
      <c r="B5" s="2" t="inlineStr">
        <is>
          <t>Reusable RTL/IP/block master definitions.</t>
        </is>
      </c>
    </row>
    <row r="6">
      <c r="A6" s="2" t="inlineStr">
        <is>
          <t>logical_components</t>
        </is>
      </c>
      <c r="B6" s="2" t="inlineStr">
        <is>
          <t>Architecture-level logical hierarchy. Repeated use is represented by logical_instance_count.</t>
        </is>
      </c>
    </row>
    <row r="7">
      <c r="A7" s="2" t="inlineStr">
        <is>
          <t>physical_partitions</t>
        </is>
      </c>
      <c r="B7" s="2" t="inlineStr">
        <is>
          <t>Minimal physical partition table from logical components to scenario/tier placement. resource_category splits logic, SRAM, and block/hard-macro content. Details live in metrics.</t>
        </is>
      </c>
    </row>
    <row r="8">
      <c r="A8" s="2" t="inlineStr">
        <is>
          <t>metrics</t>
        </is>
      </c>
      <c r="B8" s="2" t="inlineStr">
        <is>
          <t>Unified metric table. Metrics can attach to logical_component, physical_partition, tier, or scenario.</t>
        </is>
      </c>
    </row>
    <row r="9">
      <c r="A9" s="2" t="inlineStr">
        <is>
          <t>metric_dictionary</t>
        </is>
      </c>
      <c r="B9" s="2" t="inlineStr">
        <is>
          <t>Allowed metric names, value types, units, categories, and applicable subject types.</t>
        </is>
      </c>
    </row>
    <row r="10">
      <c r="A10" s="2" t="inlineStr">
        <is>
          <t>coverage_checks</t>
        </is>
      </c>
      <c r="B10" s="2" t="inlineStr">
        <is>
          <t>Review helper showing whether physical partition rows close against logical counts and ratios.</t>
        </is>
      </c>
    </row>
    <row r="11">
      <c r="A11" s="2" t="inlineStr"/>
      <c r="B11" s="2" t="n"/>
    </row>
    <row r="12">
      <c r="A12" s="2" t="inlineStr">
        <is>
          <t>Design Rules</t>
        </is>
      </c>
      <c r="B12" s="2" t="n"/>
    </row>
    <row r="13">
      <c r="A13" s="2" t="inlineStr">
        <is>
          <t>1</t>
        </is>
      </c>
      <c r="B13" s="2" t="inlineStr">
        <is>
          <t>Do not expand logical components into _0/_1/_2 rows for repeated instances.</t>
        </is>
      </c>
    </row>
    <row r="14">
      <c r="A14" s="2" t="inlineStr">
        <is>
          <t>2</t>
        </is>
      </c>
      <c r="B14" s="2" t="inlineStr">
        <is>
          <t>Use physical_instance_count to show how many physical copies this partition realizes on the tier.</t>
        </is>
      </c>
    </row>
    <row r="15">
      <c r="A15" s="2" t="inlineStr">
        <is>
          <t>3</t>
        </is>
      </c>
      <c r="B15" s="2" t="inlineStr">
        <is>
          <t>Use content_share to describe how much content is carried by a partial partition. Full partitions always use content_share=1.</t>
        </is>
      </c>
    </row>
    <row r="16">
      <c r="A16" s="2" t="inlineStr">
        <is>
          <t>4</t>
        </is>
      </c>
      <c r="B16" s="2" t="inlineStr">
        <is>
          <t>If one logical module is split across dies, create multiple physical_partitions with the same logical_component_id.</t>
        </is>
      </c>
    </row>
    <row r="17">
      <c r="A17" s="2" t="inlineStr">
        <is>
          <t>5</t>
        </is>
      </c>
      <c r="B17" s="2" t="inlineStr">
        <is>
          <t>Keep logical_components compact. Store signal count and area breakdowns as logical_component metrics.</t>
        </is>
      </c>
    </row>
    <row r="18">
      <c r="A18" s="2" t="inlineStr">
        <is>
          <t>6</t>
        </is>
      </c>
      <c r="B18" s="2" t="inlineStr">
        <is>
          <t>For early-stage logical area, use logic_area, sram_area, and block_area only.</t>
        </is>
      </c>
    </row>
    <row r="19">
      <c r="A19" s="2" t="inlineStr">
        <is>
          <t>7</t>
        </is>
      </c>
      <c r="B19" s="2" t="inlineStr">
        <is>
          <t>Do not store shape/width/height/utilization/orientation directly in physical_partitions at this stage; use metrics when needed.</t>
        </is>
      </c>
    </row>
  </sheetData>
  <autoFilter ref="A1:B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4" customWidth="1" min="3" max="3"/>
    <col width="13" customWidth="1" min="4" max="4"/>
    <col width="18" customWidth="1" min="5" max="5"/>
    <col width="44" customWidth="1" min="6" max="6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module_type</t>
        </is>
      </c>
      <c r="D1" s="1" t="inlineStr">
        <is>
          <t>ip_owner</t>
        </is>
      </c>
      <c r="E1" s="1" t="inlineStr">
        <is>
          <t>reuse_class</t>
        </is>
      </c>
      <c r="F1" s="1" t="inlineStr">
        <is>
          <t>description</t>
        </is>
      </c>
    </row>
    <row r="2">
      <c r="A2" s="2" t="inlineStr">
        <is>
          <t>MD_NPU_MAC</t>
        </is>
      </c>
      <c r="B2" s="2" t="inlineStr">
        <is>
          <t>NPU_MAC_ARRAY</t>
        </is>
      </c>
      <c r="C2" s="2" t="inlineStr">
        <is>
          <t>rtl_block</t>
        </is>
      </c>
      <c r="D2" s="2" t="inlineStr">
        <is>
          <t>AI Team</t>
        </is>
      </c>
      <c r="E2" s="2" t="inlineStr">
        <is>
          <t>replicated</t>
        </is>
      </c>
      <c r="F2" s="2" t="inlineStr">
        <is>
          <t>MAC array tile reused multiple times under NPU_TOP.</t>
        </is>
      </c>
    </row>
    <row r="3">
      <c r="A3" s="2" t="inlineStr">
        <is>
          <t>MD_NPU_SRAM</t>
        </is>
      </c>
      <c r="B3" s="2" t="inlineStr">
        <is>
          <t>NPU_SRAM_BANK</t>
        </is>
      </c>
      <c r="C3" s="2" t="inlineStr">
        <is>
          <t>memory_macro</t>
        </is>
      </c>
      <c r="D3" s="2" t="inlineStr">
        <is>
          <t>Memory Team</t>
        </is>
      </c>
      <c r="E3" s="2" t="inlineStr">
        <is>
          <t>compiler_macro</t>
        </is>
      </c>
      <c r="F3" s="2" t="inlineStr">
        <is>
          <t>SRAM bank generated by memory compiler.</t>
        </is>
      </c>
    </row>
    <row r="4">
      <c r="A4" s="2" t="inlineStr">
        <is>
          <t>MD_GPU_TOP</t>
        </is>
      </c>
      <c r="B4" s="2" t="inlineStr">
        <is>
          <t>GPU_TOP</t>
        </is>
      </c>
      <c r="C4" s="2" t="inlineStr">
        <is>
          <t>subsystem</t>
        </is>
      </c>
      <c r="D4" s="2" t="inlineStr">
        <is>
          <t>GPU Team</t>
        </is>
      </c>
      <c r="E4" s="2" t="inlineStr">
        <is>
          <t>partitionable</t>
        </is>
      </c>
      <c r="F4" s="2" t="inlineStr">
        <is>
          <t>GPU subsystem that may be partitioned across logic and memory tiers.</t>
        </is>
      </c>
    </row>
    <row r="5">
      <c r="A5" s="2" t="inlineStr">
        <is>
          <t>MD_DDR_PHY</t>
        </is>
      </c>
      <c r="B5" s="2" t="inlineStr">
        <is>
          <t>DDR_PHY</t>
        </is>
      </c>
      <c r="C5" s="2" t="inlineStr">
        <is>
          <t>phy_analog</t>
        </is>
      </c>
      <c r="D5" s="2" t="inlineStr">
        <is>
          <t>PHY Team</t>
        </is>
      </c>
      <c r="E5" s="2" t="inlineStr">
        <is>
          <t>fixed_hard_macro</t>
        </is>
      </c>
      <c r="F5" s="2" t="inlineStr">
        <is>
          <t>DDR PHY hard macro with edge constraints.</t>
        </is>
      </c>
    </row>
  </sheetData>
  <autoFilter ref="A1:F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1" customWidth="1" min="3" max="3"/>
    <col width="12" customWidth="1" min="4" max="4"/>
    <col width="19" customWidth="1" min="5" max="5"/>
    <col width="23" customWidth="1" min="6" max="6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product_family</t>
        </is>
      </c>
      <c r="D1" s="1" t="inlineStr">
        <is>
          <t>generation</t>
        </is>
      </c>
      <c r="E1" s="1" t="inlineStr">
        <is>
          <t>owner</t>
        </is>
      </c>
      <c r="F1" s="1" t="inlineStr">
        <is>
          <t>phase</t>
        </is>
      </c>
    </row>
    <row r="2">
      <c r="A2" s="2" t="inlineStr">
        <is>
          <t>P001</t>
        </is>
      </c>
      <c r="B2" s="2" t="inlineStr">
        <is>
          <t>Mobile SoC Gen-A</t>
        </is>
      </c>
      <c r="C2" s="2" t="inlineStr">
        <is>
          <t>Flagship Mobile SoC</t>
        </is>
      </c>
      <c r="D2" s="2" t="inlineStr">
        <is>
          <t>Gen-A</t>
        </is>
      </c>
      <c r="E2" s="2" t="inlineStr">
        <is>
          <t>Architecture Team</t>
        </is>
      </c>
      <c r="F2" s="2" t="inlineStr">
        <is>
          <t>Architecture Planning</t>
        </is>
      </c>
    </row>
  </sheetData>
  <autoFilter ref="A1:F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5" customWidth="1" min="4" max="4"/>
    <col width="15" customWidth="1" min="5" max="5"/>
    <col width="12" customWidth="1" min="6" max="6"/>
  </cols>
  <sheetData>
    <row r="1">
      <c r="A1" s="1" t="inlineStr">
        <is>
          <t>id</t>
        </is>
      </c>
      <c r="B1" s="1" t="inlineStr">
        <is>
          <t>project_id</t>
        </is>
      </c>
      <c r="C1" s="1" t="inlineStr">
        <is>
          <t>name</t>
        </is>
      </c>
      <c r="D1" s="1" t="inlineStr">
        <is>
          <t>scenario_type</t>
        </is>
      </c>
      <c r="E1" s="1" t="inlineStr">
        <is>
          <t>process_combo</t>
        </is>
      </c>
      <c r="F1" s="1" t="inlineStr">
        <is>
          <t>status</t>
        </is>
      </c>
    </row>
    <row r="2">
      <c r="A2" s="2" t="inlineStr">
        <is>
          <t>S2</t>
        </is>
      </c>
      <c r="B2" s="2" t="inlineStr">
        <is>
          <t>P001</t>
        </is>
      </c>
      <c r="C2" s="2" t="inlineStr">
        <is>
          <t>3DIC Option A</t>
        </is>
      </c>
      <c r="D2" s="2" t="inlineStr">
        <is>
          <t>3 tiers W2W</t>
        </is>
      </c>
      <c r="E2" s="2" t="inlineStr">
        <is>
          <t>N5 + N7 + N7</t>
        </is>
      </c>
      <c r="F2" s="2" t="inlineStr">
        <is>
          <t>High</t>
        </is>
      </c>
    </row>
  </sheetData>
  <autoFilter ref="A1:F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3" customWidth="1" min="4" max="4"/>
    <col width="12" customWidth="1" min="5" max="5"/>
    <col width="24" customWidth="1" min="6" max="6"/>
    <col width="24" customWidth="1" min="7" max="7"/>
    <col width="16" customWidth="1" min="8" max="8"/>
  </cols>
  <sheetData>
    <row r="1">
      <c r="A1" s="1" t="inlineStr">
        <is>
          <t>id</t>
        </is>
      </c>
      <c r="B1" s="1" t="inlineStr">
        <is>
          <t>scenario_id</t>
        </is>
      </c>
      <c r="C1" s="1" t="inlineStr">
        <is>
          <t>tier_index</t>
        </is>
      </c>
      <c r="D1" s="1" t="inlineStr">
        <is>
          <t>name</t>
        </is>
      </c>
      <c r="E1" s="1" t="inlineStr">
        <is>
          <t>process_id</t>
        </is>
      </c>
      <c r="F1" s="1" t="inlineStr">
        <is>
          <t>role</t>
        </is>
      </c>
      <c r="G1" s="1" t="inlineStr">
        <is>
          <t>orientation</t>
        </is>
      </c>
      <c r="H1" s="1" t="inlineStr">
        <is>
          <t>area_limit_mm2</t>
        </is>
      </c>
    </row>
    <row r="2">
      <c r="A2" s="2" t="inlineStr">
        <is>
          <t>T0</t>
        </is>
      </c>
      <c r="B2" s="2" t="inlineStr">
        <is>
          <t>S2</t>
        </is>
      </c>
      <c r="C2" s="2" t="n">
        <v>0</v>
      </c>
      <c r="D2" s="2" t="inlineStr">
        <is>
          <t>Top Tier</t>
        </is>
      </c>
      <c r="E2" s="2" t="inlineStr">
        <is>
          <t>PN5</t>
        </is>
      </c>
      <c r="F2" s="2" t="inlineStr">
        <is>
          <t>High-performance logic</t>
        </is>
      </c>
      <c r="G2" s="2" t="inlineStr">
        <is>
          <t>Face-down</t>
        </is>
      </c>
      <c r="H2" s="2" t="n">
        <v>28.2</v>
      </c>
    </row>
    <row r="3">
      <c r="A3" s="2" t="inlineStr">
        <is>
          <t>T1</t>
        </is>
      </c>
      <c r="B3" s="2" t="inlineStr">
        <is>
          <t>S2</t>
        </is>
      </c>
      <c r="C3" s="2" t="n">
        <v>1</v>
      </c>
      <c r="D3" s="2" t="inlineStr">
        <is>
          <t>Middle Tier</t>
        </is>
      </c>
      <c r="E3" s="2" t="inlineStr">
        <is>
          <t>PN7</t>
        </is>
      </c>
      <c r="F3" s="2" t="inlineStr">
        <is>
          <t>Memory + medium logic</t>
        </is>
      </c>
      <c r="G3" s="2" t="inlineStr">
        <is>
          <t>Face-up / Face-to-face</t>
        </is>
      </c>
      <c r="H3" s="2" t="n">
        <v>31.4</v>
      </c>
    </row>
    <row r="4">
      <c r="A4" s="2" t="inlineStr">
        <is>
          <t>T2</t>
        </is>
      </c>
      <c r="B4" s="2" t="inlineStr">
        <is>
          <t>S2</t>
        </is>
      </c>
      <c r="C4" s="2" t="n">
        <v>2</v>
      </c>
      <c r="D4" s="2" t="inlineStr">
        <is>
          <t>Bottom Tier</t>
        </is>
      </c>
      <c r="E4" s="2" t="inlineStr">
        <is>
          <t>PN7</t>
        </is>
      </c>
      <c r="F4" s="2" t="inlineStr">
        <is>
          <t>IO / PHY / PDN / logic</t>
        </is>
      </c>
      <c r="G4" s="2" t="inlineStr">
        <is>
          <t>Backside PDN</t>
        </is>
      </c>
      <c r="H4" s="2" t="n">
        <v>15</v>
      </c>
    </row>
  </sheetData>
  <autoFilter ref="A1:H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2" customWidth="1" min="4" max="4"/>
    <col width="15" customWidth="1" min="5" max="5"/>
    <col width="15" customWidth="1" min="6" max="6"/>
    <col width="15" customWidth="1" min="7" max="7"/>
    <col width="17" customWidth="1" min="8" max="8"/>
    <col width="31" customWidth="1" min="9" max="9"/>
    <col width="24" customWidth="1" min="10" max="10"/>
    <col width="44" customWidth="1" min="11" max="11"/>
  </cols>
  <sheetData>
    <row r="1">
      <c r="A1" s="1" t="inlineStr">
        <is>
          <t>id</t>
        </is>
      </c>
      <c r="B1" s="1" t="inlineStr">
        <is>
          <t>project_id</t>
        </is>
      </c>
      <c r="C1" s="1" t="inlineStr">
        <is>
          <t>parent_id</t>
        </is>
      </c>
      <c r="D1" s="1" t="inlineStr">
        <is>
          <t>module_definition_id</t>
        </is>
      </c>
      <c r="E1" s="1" t="inlineStr">
        <is>
          <t>name</t>
        </is>
      </c>
      <c r="F1" s="1" t="inlineStr">
        <is>
          <t>instance_type</t>
        </is>
      </c>
      <c r="G1" s="1" t="inlineStr">
        <is>
          <t>resource_type</t>
        </is>
      </c>
      <c r="H1" s="1" t="inlineStr">
        <is>
          <t>function_domain</t>
        </is>
      </c>
      <c r="I1" s="1" t="inlineStr">
        <is>
          <t>hierarchy_path</t>
        </is>
      </c>
      <c r="J1" s="1" t="inlineStr">
        <is>
          <t>logical_instance_count</t>
        </is>
      </c>
      <c r="K1" s="1" t="inlineStr">
        <is>
          <t>description</t>
        </is>
      </c>
    </row>
    <row r="2">
      <c r="A2" s="2" t="inlineStr">
        <is>
          <t>B0</t>
        </is>
      </c>
      <c r="B2" s="2" t="inlineStr">
        <is>
          <t>P001</t>
        </is>
      </c>
      <c r="C2" s="2" t="inlineStr"/>
      <c r="D2" s="2" t="inlineStr"/>
      <c r="E2" s="2" t="inlineStr">
        <is>
          <t>SOC_TOP</t>
        </is>
      </c>
      <c r="F2" s="2" t="inlineStr">
        <is>
          <t>top</t>
        </is>
      </c>
      <c r="G2" s="2" t="inlineStr">
        <is>
          <t>mixed</t>
        </is>
      </c>
      <c r="H2" s="2" t="inlineStr">
        <is>
          <t>SoC</t>
        </is>
      </c>
      <c r="I2" s="2" t="inlineStr">
        <is>
          <t>SOC_TOP</t>
        </is>
      </c>
      <c r="J2" s="2" t="n">
        <v>1</v>
      </c>
      <c r="K2" s="2" t="inlineStr">
        <is>
          <t>Logical SoC root.</t>
        </is>
      </c>
    </row>
    <row r="3">
      <c r="A3" s="2" t="inlineStr">
        <is>
          <t>B3</t>
        </is>
      </c>
      <c r="B3" s="2" t="inlineStr">
        <is>
          <t>P001</t>
        </is>
      </c>
      <c r="C3" s="2" t="inlineStr">
        <is>
          <t>B0</t>
        </is>
      </c>
      <c r="D3" s="2" t="inlineStr"/>
      <c r="E3" s="2" t="inlineStr">
        <is>
          <t>NPU_TOP</t>
        </is>
      </c>
      <c r="F3" s="2" t="inlineStr">
        <is>
          <t>subsystem</t>
        </is>
      </c>
      <c r="G3" s="2" t="inlineStr">
        <is>
          <t>logic+memory</t>
        </is>
      </c>
      <c r="H3" s="2" t="inlineStr">
        <is>
          <t>AI</t>
        </is>
      </c>
      <c r="I3" s="2" t="inlineStr">
        <is>
          <t>SOC_TOP/NPU_TOP</t>
        </is>
      </c>
      <c r="J3" s="2" t="n">
        <v>1</v>
      </c>
      <c r="K3" s="2" t="inlineStr">
        <is>
          <t>NPU subsystem containing repeated MAC and SRAM modules.</t>
        </is>
      </c>
    </row>
    <row r="4">
      <c r="A4" s="2" t="inlineStr">
        <is>
          <t>B30</t>
        </is>
      </c>
      <c r="B4" s="2" t="inlineStr">
        <is>
          <t>P001</t>
        </is>
      </c>
      <c r="C4" s="2" t="inlineStr">
        <is>
          <t>B3</t>
        </is>
      </c>
      <c r="D4" s="2" t="inlineStr">
        <is>
          <t>MD_NPU_MAC</t>
        </is>
      </c>
      <c r="E4" s="2" t="inlineStr">
        <is>
          <t>NPU_MAC_ARRAY</t>
        </is>
      </c>
      <c r="F4" s="2" t="inlineStr">
        <is>
          <t>block</t>
        </is>
      </c>
      <c r="G4" s="2" t="inlineStr">
        <is>
          <t>logic</t>
        </is>
      </c>
      <c r="H4" s="2" t="inlineStr">
        <is>
          <t>AI Compute</t>
        </is>
      </c>
      <c r="I4" s="2" t="inlineStr">
        <is>
          <t>SOC_TOP/NPU_TOP/NPU_MAC_ARRAY</t>
        </is>
      </c>
      <c r="J4" s="2" t="n">
        <v>4</v>
      </c>
      <c r="K4" s="2" t="inlineStr">
        <is>
          <t>Logical MAC array module. Repetition is captured by logical_instance_count.</t>
        </is>
      </c>
    </row>
    <row r="5">
      <c r="A5" s="2" t="inlineStr">
        <is>
          <t>B8</t>
        </is>
      </c>
      <c r="B5" s="2" t="inlineStr">
        <is>
          <t>P001</t>
        </is>
      </c>
      <c r="C5" s="2" t="inlineStr">
        <is>
          <t>B3</t>
        </is>
      </c>
      <c r="D5" s="2" t="inlineStr">
        <is>
          <t>MD_NPU_SRAM</t>
        </is>
      </c>
      <c r="E5" s="2" t="inlineStr">
        <is>
          <t>NPU_SRAM_BANK</t>
        </is>
      </c>
      <c r="F5" s="2" t="inlineStr">
        <is>
          <t>macro_group</t>
        </is>
      </c>
      <c r="G5" s="2" t="inlineStr">
        <is>
          <t>memory</t>
        </is>
      </c>
      <c r="H5" s="2" t="inlineStr">
        <is>
          <t>AI Memory</t>
        </is>
      </c>
      <c r="I5" s="2" t="inlineStr">
        <is>
          <t>SOC_TOP/NPU_TOP/NPU_SRAM_BANK</t>
        </is>
      </c>
      <c r="J5" s="2" t="n">
        <v>2</v>
      </c>
      <c r="K5" s="2" t="inlineStr">
        <is>
          <t>Logical SRAM bank module.</t>
        </is>
      </c>
    </row>
    <row r="6">
      <c r="A6" s="2" t="inlineStr">
        <is>
          <t>B2</t>
        </is>
      </c>
      <c r="B6" s="2" t="inlineStr">
        <is>
          <t>P001</t>
        </is>
      </c>
      <c r="C6" s="2" t="inlineStr">
        <is>
          <t>B0</t>
        </is>
      </c>
      <c r="D6" s="2" t="inlineStr">
        <is>
          <t>MD_GPU_TOP</t>
        </is>
      </c>
      <c r="E6" s="2" t="inlineStr">
        <is>
          <t>GPU_TOP</t>
        </is>
      </c>
      <c r="F6" s="2" t="inlineStr">
        <is>
          <t>subsystem</t>
        </is>
      </c>
      <c r="G6" s="2" t="inlineStr">
        <is>
          <t>logic+memory</t>
        </is>
      </c>
      <c r="H6" s="2" t="inlineStr">
        <is>
          <t>Graphics</t>
        </is>
      </c>
      <c r="I6" s="2" t="inlineStr">
        <is>
          <t>SOC_TOP/GPU_TOP</t>
        </is>
      </c>
      <c r="J6" s="2" t="n">
        <v>1</v>
      </c>
      <c r="K6" s="2" t="inlineStr">
        <is>
          <t>GPU logical module may be partially partitioned across tiers.</t>
        </is>
      </c>
    </row>
    <row r="7">
      <c r="A7" s="2" t="inlineStr">
        <is>
          <t>B5</t>
        </is>
      </c>
      <c r="B7" s="2" t="inlineStr">
        <is>
          <t>P001</t>
        </is>
      </c>
      <c r="C7" s="2" t="inlineStr">
        <is>
          <t>B0</t>
        </is>
      </c>
      <c r="D7" s="2" t="inlineStr">
        <is>
          <t>MD_DDR_PHY</t>
        </is>
      </c>
      <c r="E7" s="2" t="inlineStr">
        <is>
          <t>DDR_PHY</t>
        </is>
      </c>
      <c r="F7" s="2" t="inlineStr">
        <is>
          <t>phy</t>
        </is>
      </c>
      <c r="G7" s="2" t="inlineStr">
        <is>
          <t>phy_analog</t>
        </is>
      </c>
      <c r="H7" s="2" t="inlineStr">
        <is>
          <t>Memory IO</t>
        </is>
      </c>
      <c r="I7" s="2" t="inlineStr">
        <is>
          <t>SOC_TOP/DDR_PHY</t>
        </is>
      </c>
      <c r="J7" s="2" t="n">
        <v>1</v>
      </c>
      <c r="K7" s="2" t="inlineStr">
        <is>
          <t>Fixed bottom-tier PHY.</t>
        </is>
      </c>
    </row>
  </sheetData>
  <autoFilter ref="A1:K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3" customWidth="1" min="2" max="2"/>
    <col width="22" customWidth="1" min="3" max="3"/>
    <col width="12" customWidth="1" min="4" max="4"/>
    <col width="24" customWidth="1" min="5" max="5"/>
    <col width="19" customWidth="1" min="6" max="6"/>
    <col width="16" customWidth="1" min="7" max="7"/>
    <col width="25" customWidth="1" min="8" max="8"/>
    <col width="15" customWidth="1" min="9" max="9"/>
    <col width="44" customWidth="1" min="10" max="10"/>
  </cols>
  <sheetData>
    <row r="1">
      <c r="A1" s="1" t="inlineStr">
        <is>
          <t>id</t>
        </is>
      </c>
      <c r="B1" s="1" t="inlineStr">
        <is>
          <t>scenario_id</t>
        </is>
      </c>
      <c r="C1" s="1" t="inlineStr">
        <is>
          <t>logical_component_id</t>
        </is>
      </c>
      <c r="D1" s="1" t="inlineStr">
        <is>
          <t>tier_id</t>
        </is>
      </c>
      <c r="E1" s="1" t="inlineStr">
        <is>
          <t>partition_name</t>
        </is>
      </c>
      <c r="F1" s="1" t="inlineStr">
        <is>
          <t>resource_category</t>
        </is>
      </c>
      <c r="G1" s="1" t="inlineStr">
        <is>
          <t>partition_type</t>
        </is>
      </c>
      <c r="H1" s="1" t="inlineStr">
        <is>
          <t>physical_instance_count</t>
        </is>
      </c>
      <c r="I1" s="1" t="inlineStr">
        <is>
          <t>content_share</t>
        </is>
      </c>
      <c r="J1" s="1" t="inlineStr">
        <is>
          <t>description</t>
        </is>
      </c>
    </row>
    <row r="2">
      <c r="A2" s="2" t="inlineStr">
        <is>
          <t>PP_NPU_MAC_ARRAY_logic_T0</t>
        </is>
      </c>
      <c r="B2" s="2" t="inlineStr">
        <is>
          <t>S2</t>
        </is>
      </c>
      <c r="C2" s="2" t="inlineStr">
        <is>
          <t>B30</t>
        </is>
      </c>
      <c r="D2" s="2" t="inlineStr">
        <is>
          <t>T0</t>
        </is>
      </c>
      <c r="E2" s="2" t="inlineStr">
        <is>
          <t>NPU_MAC_ARRAY_logic_T0</t>
        </is>
      </c>
      <c r="F2" s="2" t="inlineStr">
        <is>
          <t>logic</t>
        </is>
      </c>
      <c r="G2" s="2" t="inlineStr">
        <is>
          <t>full</t>
        </is>
      </c>
      <c r="H2" s="2" t="n">
        <v>4</v>
      </c>
      <c r="I2" s="2" t="n">
        <v>1</v>
      </c>
      <c r="J2" s="2" t="inlineStr">
        <is>
          <t>All four MAC logic copies are implemented on the top tier.</t>
        </is>
      </c>
    </row>
    <row r="3">
      <c r="A3" s="2" t="inlineStr">
        <is>
          <t>PP_NPU_MAC_ARRAY_block_T0</t>
        </is>
      </c>
      <c r="B3" s="2" t="inlineStr">
        <is>
          <t>S2</t>
        </is>
      </c>
      <c r="C3" s="2" t="inlineStr">
        <is>
          <t>B30</t>
        </is>
      </c>
      <c r="D3" s="2" t="inlineStr">
        <is>
          <t>T0</t>
        </is>
      </c>
      <c r="E3" s="2" t="inlineStr">
        <is>
          <t>NPU_MAC_ARRAY_block_T0</t>
        </is>
      </c>
      <c r="F3" s="2" t="inlineStr">
        <is>
          <t>block</t>
        </is>
      </c>
      <c r="G3" s="2" t="inlineStr">
        <is>
          <t>full</t>
        </is>
      </c>
      <c r="H3" s="2" t="n">
        <v>4</v>
      </c>
      <c r="I3" s="2" t="n">
        <v>1</v>
      </c>
      <c r="J3" s="2" t="inlineStr">
        <is>
          <t>All four MAC block-area copies are implemented on the top tier.</t>
        </is>
      </c>
    </row>
    <row r="4">
      <c r="A4" s="2" t="inlineStr">
        <is>
          <t>PP_NPU_SRAM_BANK_logic_T1</t>
        </is>
      </c>
      <c r="B4" s="2" t="inlineStr">
        <is>
          <t>S2</t>
        </is>
      </c>
      <c r="C4" s="2" t="inlineStr">
        <is>
          <t>B8</t>
        </is>
      </c>
      <c r="D4" s="2" t="inlineStr">
        <is>
          <t>T1</t>
        </is>
      </c>
      <c r="E4" s="2" t="inlineStr">
        <is>
          <t>NPU_SRAM_BANK_logic_T1</t>
        </is>
      </c>
      <c r="F4" s="2" t="inlineStr">
        <is>
          <t>logic</t>
        </is>
      </c>
      <c r="G4" s="2" t="inlineStr">
        <is>
          <t>full</t>
        </is>
      </c>
      <c r="H4" s="2" t="n">
        <v>2</v>
      </c>
      <c r="I4" s="2" t="n">
        <v>1</v>
      </c>
      <c r="J4" s="2" t="inlineStr">
        <is>
          <t>SRAM peripheral/control logic on the memory tier.</t>
        </is>
      </c>
    </row>
    <row r="5">
      <c r="A5" s="2" t="inlineStr">
        <is>
          <t>PP_NPU_SRAM_BANK_sram_T1</t>
        </is>
      </c>
      <c r="B5" s="2" t="inlineStr">
        <is>
          <t>S2</t>
        </is>
      </c>
      <c r="C5" s="2" t="inlineStr">
        <is>
          <t>B8</t>
        </is>
      </c>
      <c r="D5" s="2" t="inlineStr">
        <is>
          <t>T1</t>
        </is>
      </c>
      <c r="E5" s="2" t="inlineStr">
        <is>
          <t>NPU_SRAM_BANK_sram_T1</t>
        </is>
      </c>
      <c r="F5" s="2" t="inlineStr">
        <is>
          <t>sram</t>
        </is>
      </c>
      <c r="G5" s="2" t="inlineStr">
        <is>
          <t>full</t>
        </is>
      </c>
      <c r="H5" s="2" t="n">
        <v>2</v>
      </c>
      <c r="I5" s="2" t="n">
        <v>1</v>
      </c>
      <c r="J5" s="2" t="inlineStr">
        <is>
          <t>Both logical SRAM bank copies are carried by this middle-tier partition.</t>
        </is>
      </c>
    </row>
    <row r="6">
      <c r="A6" s="2" t="inlineStr">
        <is>
          <t>PP_NPU_SRAM_BANK_block_T1</t>
        </is>
      </c>
      <c r="B6" s="2" t="inlineStr">
        <is>
          <t>S2</t>
        </is>
      </c>
      <c r="C6" s="2" t="inlineStr">
        <is>
          <t>B8</t>
        </is>
      </c>
      <c r="D6" s="2" t="inlineStr">
        <is>
          <t>T1</t>
        </is>
      </c>
      <c r="E6" s="2" t="inlineStr">
        <is>
          <t>NPU_SRAM_BANK_block_T1</t>
        </is>
      </c>
      <c r="F6" s="2" t="inlineStr">
        <is>
          <t>block</t>
        </is>
      </c>
      <c r="G6" s="2" t="inlineStr">
        <is>
          <t>full</t>
        </is>
      </c>
      <c r="H6" s="2" t="n">
        <v>2</v>
      </c>
      <c r="I6" s="2" t="n">
        <v>1</v>
      </c>
      <c r="J6" s="2" t="inlineStr">
        <is>
          <t>Block-level SRAM-bank implementation area on the memory tier.</t>
        </is>
      </c>
    </row>
    <row r="7">
      <c r="A7" s="2" t="inlineStr">
        <is>
          <t>PP_GPU_TOP_logic_T0_P1</t>
        </is>
      </c>
      <c r="B7" s="2" t="inlineStr">
        <is>
          <t>S2</t>
        </is>
      </c>
      <c r="C7" s="2" t="inlineStr">
        <is>
          <t>B2</t>
        </is>
      </c>
      <c r="D7" s="2" t="inlineStr">
        <is>
          <t>T0</t>
        </is>
      </c>
      <c r="E7" s="2" t="inlineStr">
        <is>
          <t>GPU_TOP_logic_T0_P1</t>
        </is>
      </c>
      <c r="F7" s="2" t="inlineStr">
        <is>
          <t>logic</t>
        </is>
      </c>
      <c r="G7" s="2" t="inlineStr">
        <is>
          <t>partial</t>
        </is>
      </c>
      <c r="H7" s="2" t="n">
        <v>1</v>
      </c>
      <c r="I7" s="2" t="n">
        <v>0.65</v>
      </c>
      <c r="J7" s="2" t="inlineStr">
        <is>
          <t>GPU residual/self logic-side partition on top tier.</t>
        </is>
      </c>
    </row>
    <row r="8">
      <c r="A8" s="2" t="inlineStr">
        <is>
          <t>PP_GPU_TOP_logic_T1_P2</t>
        </is>
      </c>
      <c r="B8" s="2" t="inlineStr">
        <is>
          <t>S2</t>
        </is>
      </c>
      <c r="C8" s="2" t="inlineStr">
        <is>
          <t>B2</t>
        </is>
      </c>
      <c r="D8" s="2" t="inlineStr">
        <is>
          <t>T1</t>
        </is>
      </c>
      <c r="E8" s="2" t="inlineStr">
        <is>
          <t>GPU_TOP_logic_T1_P2</t>
        </is>
      </c>
      <c r="F8" s="2" t="inlineStr">
        <is>
          <t>logic</t>
        </is>
      </c>
      <c r="G8" s="2" t="inlineStr">
        <is>
          <t>partial</t>
        </is>
      </c>
      <c r="H8" s="2" t="n">
        <v>1</v>
      </c>
      <c r="I8" s="2" t="n">
        <v>0.35</v>
      </c>
      <c r="J8" s="2" t="inlineStr">
        <is>
          <t>GPU residual/self logic-side partition on memory tier.</t>
        </is>
      </c>
    </row>
    <row r="9">
      <c r="A9" s="2" t="inlineStr">
        <is>
          <t>PP_DDR_PHY_block_T2</t>
        </is>
      </c>
      <c r="B9" s="2" t="inlineStr">
        <is>
          <t>S2</t>
        </is>
      </c>
      <c r="C9" s="2" t="inlineStr">
        <is>
          <t>B5</t>
        </is>
      </c>
      <c r="D9" s="2" t="inlineStr">
        <is>
          <t>T2</t>
        </is>
      </c>
      <c r="E9" s="2" t="inlineStr">
        <is>
          <t>DDR_PHY_block_T2</t>
        </is>
      </c>
      <c r="F9" s="2" t="inlineStr">
        <is>
          <t>block</t>
        </is>
      </c>
      <c r="G9" s="2" t="inlineStr">
        <is>
          <t>full</t>
        </is>
      </c>
      <c r="H9" s="2" t="n">
        <v>1</v>
      </c>
      <c r="I9" s="2" t="n">
        <v>1</v>
      </c>
      <c r="J9" s="2" t="inlineStr">
        <is>
          <t>Fixed PHY hard/block content on bottom tier.</t>
        </is>
      </c>
    </row>
  </sheetData>
  <autoFilter ref="A1:J9"/>
  <dataValidations count="2">
    <dataValidation sqref="F2:F100" showDropDown="0" showInputMessage="0" showErrorMessage="0" allowBlank="0" type="list">
      <formula1>"logic,sram,block"</formula1>
    </dataValidation>
    <dataValidation sqref="G2:G100" showDropDown="0" showInputMessage="0" showErrorMessage="0" allowBlank="0" type="list">
      <formula1>"full,partial"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3" customWidth="1" min="2" max="2"/>
    <col width="20" customWidth="1" min="3" max="3"/>
    <col width="27" customWidth="1" min="4" max="4"/>
    <col width="20" customWidth="1" min="5" max="5"/>
    <col width="14" customWidth="1" min="6" max="6"/>
    <col width="13" customWidth="1" min="7" max="7"/>
    <col width="21" customWidth="1" min="8" max="8"/>
    <col width="12" customWidth="1" min="9" max="9"/>
    <col width="12" customWidth="1" min="10" max="10"/>
    <col width="12" customWidth="1" min="11" max="11"/>
    <col width="12" customWidth="1" min="12" max="12"/>
    <col width="44" customWidth="1" min="13" max="13"/>
    <col width="12" customWidth="1" min="14" max="14"/>
  </cols>
  <sheetData>
    <row r="1">
      <c r="A1" s="1" t="inlineStr">
        <is>
          <t>id</t>
        </is>
      </c>
      <c r="B1" s="1" t="inlineStr">
        <is>
          <t>scenario_id</t>
        </is>
      </c>
      <c r="C1" s="1" t="inlineStr">
        <is>
          <t>subject_type</t>
        </is>
      </c>
      <c r="D1" s="1" t="inlineStr">
        <is>
          <t>subject_id</t>
        </is>
      </c>
      <c r="E1" s="1" t="inlineStr">
        <is>
          <t>metric_name</t>
        </is>
      </c>
      <c r="F1" s="1" t="inlineStr">
        <is>
          <t>metric_value</t>
        </is>
      </c>
      <c r="G1" s="1" t="inlineStr">
        <is>
          <t>metric_unit</t>
        </is>
      </c>
      <c r="H1" s="1" t="inlineStr">
        <is>
          <t>metric_category</t>
        </is>
      </c>
      <c r="I1" s="1" t="inlineStr">
        <is>
          <t>value_type</t>
        </is>
      </c>
      <c r="J1" s="1" t="inlineStr">
        <is>
          <t>corner</t>
        </is>
      </c>
      <c r="K1" s="1" t="inlineStr">
        <is>
          <t>workload</t>
        </is>
      </c>
      <c r="L1" s="1" t="inlineStr">
        <is>
          <t>confidence</t>
        </is>
      </c>
      <c r="M1" s="1" t="inlineStr">
        <is>
          <t>source_note</t>
        </is>
      </c>
      <c r="N1" s="1" t="inlineStr">
        <is>
          <t>created_at</t>
        </is>
      </c>
    </row>
    <row r="2">
      <c r="A2" s="2" t="inlineStr">
        <is>
          <t>M_LOG_B30_SIGNALS</t>
        </is>
      </c>
      <c r="B2" s="2" t="inlineStr">
        <is>
          <t>S2</t>
        </is>
      </c>
      <c r="C2" s="2" t="inlineStr">
        <is>
          <t>logical_component</t>
        </is>
      </c>
      <c r="D2" s="2" t="inlineStr">
        <is>
          <t>B30</t>
        </is>
      </c>
      <c r="E2" s="2" t="inlineStr">
        <is>
          <t>signal_count_total</t>
        </is>
      </c>
      <c r="F2" s="2" t="n">
        <v>44</v>
      </c>
      <c r="G2" s="2" t="inlineStr">
        <is>
          <t>count</t>
        </is>
      </c>
      <c r="H2" s="2" t="inlineStr">
        <is>
          <t>logical</t>
        </is>
      </c>
      <c r="I2" s="2" t="inlineStr">
        <is>
          <t>number</t>
        </is>
      </c>
      <c r="J2" s="2" t="inlineStr">
        <is>
          <t>typical</t>
        </is>
      </c>
      <c r="K2" s="2" t="inlineStr">
        <is>
          <t>nominal</t>
        </is>
      </c>
      <c r="L2" s="2" t="inlineStr">
        <is>
          <t>draft</t>
        </is>
      </c>
      <c r="M2" s="2" t="inlineStr">
        <is>
          <t>Total logical signal count. Input/output/inout are intentionally not split in phase 1.</t>
        </is>
      </c>
      <c r="N2" s="2" t="inlineStr">
        <is>
          <t>2026-05-27</t>
        </is>
      </c>
    </row>
    <row r="3">
      <c r="A3" s="2" t="inlineStr">
        <is>
          <t>M_LOG_B30_LOGIC_AREA</t>
        </is>
      </c>
      <c r="B3" s="2" t="inlineStr">
        <is>
          <t>S2</t>
        </is>
      </c>
      <c r="C3" s="2" t="inlineStr">
        <is>
          <t>logical_component</t>
        </is>
      </c>
      <c r="D3" s="2" t="inlineStr">
        <is>
          <t>B30</t>
        </is>
      </c>
      <c r="E3" s="2" t="inlineStr">
        <is>
          <t>logic_area</t>
        </is>
      </c>
      <c r="F3" s="2" t="n">
        <v>10.6</v>
      </c>
      <c r="G3" s="2" t="inlineStr">
        <is>
          <t>mm2</t>
        </is>
      </c>
      <c r="H3" s="2" t="inlineStr">
        <is>
          <t>logical_area</t>
        </is>
      </c>
      <c r="I3" s="2" t="inlineStr">
        <is>
          <t>number</t>
        </is>
      </c>
      <c r="J3" s="2" t="inlineStr">
        <is>
          <t>typical</t>
        </is>
      </c>
      <c r="K3" s="2" t="inlineStr">
        <is>
          <t>nominal</t>
        </is>
      </c>
      <c r="L3" s="2" t="inlineStr">
        <is>
          <t>draft</t>
        </is>
      </c>
      <c r="M3" s="2" t="inlineStr">
        <is>
          <t>Logic area estimate for all four MAC instances.</t>
        </is>
      </c>
      <c r="N3" s="2" t="inlineStr">
        <is>
          <t>2026-05-27</t>
        </is>
      </c>
    </row>
    <row r="4">
      <c r="A4" s="2" t="inlineStr">
        <is>
          <t>M_LOG_B30_SRAM_AREA</t>
        </is>
      </c>
      <c r="B4" s="2" t="inlineStr">
        <is>
          <t>S2</t>
        </is>
      </c>
      <c r="C4" s="2" t="inlineStr">
        <is>
          <t>logical_component</t>
        </is>
      </c>
      <c r="D4" s="2" t="inlineStr">
        <is>
          <t>B30</t>
        </is>
      </c>
      <c r="E4" s="2" t="inlineStr">
        <is>
          <t>sram_area</t>
        </is>
      </c>
      <c r="F4" s="2" t="n">
        <v>0</v>
      </c>
      <c r="G4" s="2" t="inlineStr">
        <is>
          <t>mm2</t>
        </is>
      </c>
      <c r="H4" s="2" t="inlineStr">
        <is>
          <t>logical_area</t>
        </is>
      </c>
      <c r="I4" s="2" t="inlineStr">
        <is>
          <t>number</t>
        </is>
      </c>
      <c r="J4" s="2" t="inlineStr">
        <is>
          <t>typical</t>
        </is>
      </c>
      <c r="K4" s="2" t="inlineStr">
        <is>
          <t>nominal</t>
        </is>
      </c>
      <c r="L4" s="2" t="inlineStr">
        <is>
          <t>draft</t>
        </is>
      </c>
      <c r="M4" s="2" t="inlineStr">
        <is>
          <t>SRAM area estimate for all four MAC instances.</t>
        </is>
      </c>
      <c r="N4" s="2" t="inlineStr">
        <is>
          <t>2026-05-27</t>
        </is>
      </c>
    </row>
    <row r="5">
      <c r="A5" s="2" t="inlineStr">
        <is>
          <t>M_LOG_B30_BLOCK_AREA</t>
        </is>
      </c>
      <c r="B5" s="2" t="inlineStr">
        <is>
          <t>S2</t>
        </is>
      </c>
      <c r="C5" s="2" t="inlineStr">
        <is>
          <t>logical_component</t>
        </is>
      </c>
      <c r="D5" s="2" t="inlineStr">
        <is>
          <t>B30</t>
        </is>
      </c>
      <c r="E5" s="2" t="inlineStr">
        <is>
          <t>block_area</t>
        </is>
      </c>
      <c r="F5" s="2" t="n">
        <v>11.8</v>
      </c>
      <c r="G5" s="2" t="inlineStr">
        <is>
          <t>mm2</t>
        </is>
      </c>
      <c r="H5" s="2" t="inlineStr">
        <is>
          <t>logical_area</t>
        </is>
      </c>
      <c r="I5" s="2" t="inlineStr">
        <is>
          <t>number</t>
        </is>
      </c>
      <c r="J5" s="2" t="inlineStr">
        <is>
          <t>typical</t>
        </is>
      </c>
      <c r="K5" s="2" t="inlineStr">
        <is>
          <t>nominal</t>
        </is>
      </c>
      <c r="L5" s="2" t="inlineStr">
        <is>
          <t>draft</t>
        </is>
      </c>
      <c r="M5" s="2" t="inlineStr">
        <is>
          <t>Block area estimate including logic, SRAM, and early overhead.</t>
        </is>
      </c>
      <c r="N5" s="2" t="inlineStr">
        <is>
          <t>2026-05-27</t>
        </is>
      </c>
    </row>
    <row r="6">
      <c r="A6" s="2" t="inlineStr">
        <is>
          <t>M_LOG_B8_SIGNALS</t>
        </is>
      </c>
      <c r="B6" s="2" t="inlineStr">
        <is>
          <t>S2</t>
        </is>
      </c>
      <c r="C6" s="2" t="inlineStr">
        <is>
          <t>logical_component</t>
        </is>
      </c>
      <c r="D6" s="2" t="inlineStr">
        <is>
          <t>B8</t>
        </is>
      </c>
      <c r="E6" s="2" t="inlineStr">
        <is>
          <t>signal_count_total</t>
        </is>
      </c>
      <c r="F6" s="2" t="n">
        <v>24</v>
      </c>
      <c r="G6" s="2" t="inlineStr">
        <is>
          <t>count</t>
        </is>
      </c>
      <c r="H6" s="2" t="inlineStr">
        <is>
          <t>logical</t>
        </is>
      </c>
      <c r="I6" s="2" t="inlineStr">
        <is>
          <t>number</t>
        </is>
      </c>
      <c r="J6" s="2" t="inlineStr">
        <is>
          <t>typical</t>
        </is>
      </c>
      <c r="K6" s="2" t="inlineStr">
        <is>
          <t>nominal</t>
        </is>
      </c>
      <c r="L6" s="2" t="inlineStr">
        <is>
          <t>draft</t>
        </is>
      </c>
      <c r="M6" s="2" t="inlineStr">
        <is>
          <t>Total logical signal count for SRAM bank module.</t>
        </is>
      </c>
      <c r="N6" s="2" t="inlineStr">
        <is>
          <t>2026-05-27</t>
        </is>
      </c>
    </row>
    <row r="7">
      <c r="A7" s="2" t="inlineStr">
        <is>
          <t>M_LOG_B8_LOGIC_AREA</t>
        </is>
      </c>
      <c r="B7" s="2" t="inlineStr">
        <is>
          <t>S2</t>
        </is>
      </c>
      <c r="C7" s="2" t="inlineStr">
        <is>
          <t>logical_component</t>
        </is>
      </c>
      <c r="D7" s="2" t="inlineStr">
        <is>
          <t>B8</t>
        </is>
      </c>
      <c r="E7" s="2" t="inlineStr">
        <is>
          <t>logic_area</t>
        </is>
      </c>
      <c r="F7" s="2" t="n">
        <v>0.2</v>
      </c>
      <c r="G7" s="2" t="inlineStr">
        <is>
          <t>mm2</t>
        </is>
      </c>
      <c r="H7" s="2" t="inlineStr">
        <is>
          <t>logical_area</t>
        </is>
      </c>
      <c r="I7" s="2" t="inlineStr">
        <is>
          <t>number</t>
        </is>
      </c>
      <c r="J7" s="2" t="inlineStr">
        <is>
          <t>typical</t>
        </is>
      </c>
      <c r="K7" s="2" t="inlineStr">
        <is>
          <t>nominal</t>
        </is>
      </c>
      <c r="L7" s="2" t="inlineStr">
        <is>
          <t>draft</t>
        </is>
      </c>
      <c r="M7" s="2" t="inlineStr">
        <is>
          <t>Peripheral/control logic area.</t>
        </is>
      </c>
      <c r="N7" s="2" t="inlineStr">
        <is>
          <t>2026-05-27</t>
        </is>
      </c>
    </row>
    <row r="8">
      <c r="A8" s="2" t="inlineStr">
        <is>
          <t>M_LOG_B8_SRAM_AREA</t>
        </is>
      </c>
      <c r="B8" s="2" t="inlineStr">
        <is>
          <t>S2</t>
        </is>
      </c>
      <c r="C8" s="2" t="inlineStr">
        <is>
          <t>logical_component</t>
        </is>
      </c>
      <c r="D8" s="2" t="inlineStr">
        <is>
          <t>B8</t>
        </is>
      </c>
      <c r="E8" s="2" t="inlineStr">
        <is>
          <t>sram_area</t>
        </is>
      </c>
      <c r="F8" s="2" t="n">
        <v>7.6</v>
      </c>
      <c r="G8" s="2" t="inlineStr">
        <is>
          <t>mm2</t>
        </is>
      </c>
      <c r="H8" s="2" t="inlineStr">
        <is>
          <t>logical_area</t>
        </is>
      </c>
      <c r="I8" s="2" t="inlineStr">
        <is>
          <t>number</t>
        </is>
      </c>
      <c r="J8" s="2" t="inlineStr">
        <is>
          <t>typical</t>
        </is>
      </c>
      <c r="K8" s="2" t="inlineStr">
        <is>
          <t>nominal</t>
        </is>
      </c>
      <c r="L8" s="2" t="inlineStr">
        <is>
          <t>draft</t>
        </is>
      </c>
      <c r="M8" s="2" t="inlineStr">
        <is>
          <t>SRAM macro area estimate.</t>
        </is>
      </c>
      <c r="N8" s="2" t="inlineStr">
        <is>
          <t>2026-05-27</t>
        </is>
      </c>
    </row>
    <row r="9">
      <c r="A9" s="2" t="inlineStr">
        <is>
          <t>M_LOG_B8_BLOCK_AREA</t>
        </is>
      </c>
      <c r="B9" s="2" t="inlineStr">
        <is>
          <t>S2</t>
        </is>
      </c>
      <c r="C9" s="2" t="inlineStr">
        <is>
          <t>logical_component</t>
        </is>
      </c>
      <c r="D9" s="2" t="inlineStr">
        <is>
          <t>B8</t>
        </is>
      </c>
      <c r="E9" s="2" t="inlineStr">
        <is>
          <t>block_area</t>
        </is>
      </c>
      <c r="F9" s="2" t="n">
        <v>8.199999999999999</v>
      </c>
      <c r="G9" s="2" t="inlineStr">
        <is>
          <t>mm2</t>
        </is>
      </c>
      <c r="H9" s="2" t="inlineStr">
        <is>
          <t>logical_area</t>
        </is>
      </c>
      <c r="I9" s="2" t="inlineStr">
        <is>
          <t>number</t>
        </is>
      </c>
      <c r="J9" s="2" t="inlineStr">
        <is>
          <t>typical</t>
        </is>
      </c>
      <c r="K9" s="2" t="inlineStr">
        <is>
          <t>nominal</t>
        </is>
      </c>
      <c r="L9" s="2" t="inlineStr">
        <is>
          <t>draft</t>
        </is>
      </c>
      <c r="M9" s="2" t="inlineStr">
        <is>
          <t>Block area estimate including early overhead.</t>
        </is>
      </c>
      <c r="N9" s="2" t="inlineStr">
        <is>
          <t>2026-05-27</t>
        </is>
      </c>
    </row>
    <row r="10">
      <c r="A10" s="2" t="inlineStr">
        <is>
          <t>M_PART_MAC_LOGIC_AREA</t>
        </is>
      </c>
      <c r="B10" s="2" t="inlineStr">
        <is>
          <t>S2</t>
        </is>
      </c>
      <c r="C10" s="2" t="inlineStr">
        <is>
          <t>physical_partition</t>
        </is>
      </c>
      <c r="D10" s="2" t="inlineStr">
        <is>
          <t>PP_NPU_MAC_ARRAY_logic_T0</t>
        </is>
      </c>
      <c r="E10" s="2" t="inlineStr">
        <is>
          <t>logic_area</t>
        </is>
      </c>
      <c r="F10" s="2" t="n">
        <v>10.6</v>
      </c>
      <c r="G10" s="2" t="inlineStr">
        <is>
          <t>mm2</t>
        </is>
      </c>
      <c r="H10" s="2" t="inlineStr">
        <is>
          <t>implementation_area</t>
        </is>
      </c>
      <c r="I10" s="2" t="inlineStr">
        <is>
          <t>number</t>
        </is>
      </c>
      <c r="J10" s="2" t="inlineStr">
        <is>
          <t>typical</t>
        </is>
      </c>
      <c r="K10" s="2" t="inlineStr">
        <is>
          <t>nominal</t>
        </is>
      </c>
      <c r="L10" s="2" t="inlineStr">
        <is>
          <t>review</t>
        </is>
      </c>
      <c r="M10" s="2" t="inlineStr">
        <is>
          <t>Implementation-level logic area for MAC logic partition.</t>
        </is>
      </c>
      <c r="N10" s="2" t="inlineStr">
        <is>
          <t>2026-05-27</t>
        </is>
      </c>
    </row>
    <row r="11">
      <c r="A11" s="2" t="inlineStr">
        <is>
          <t>M_PART_MAC_LOGIC_SHAPE</t>
        </is>
      </c>
      <c r="B11" s="2" t="inlineStr">
        <is>
          <t>S2</t>
        </is>
      </c>
      <c r="C11" s="2" t="inlineStr">
        <is>
          <t>physical_partition</t>
        </is>
      </c>
      <c r="D11" s="2" t="inlineStr">
        <is>
          <t>PP_NPU_MAC_ARRAY_logic_T0</t>
        </is>
      </c>
      <c r="E11" s="2" t="inlineStr">
        <is>
          <t>shape_type</t>
        </is>
      </c>
      <c r="F11" s="2" t="inlineStr">
        <is>
          <t>logic_array</t>
        </is>
      </c>
      <c r="G11" s="2" t="inlineStr"/>
      <c r="H11" s="2" t="inlineStr">
        <is>
          <t>physical_shape</t>
        </is>
      </c>
      <c r="I11" s="2" t="inlineStr">
        <is>
          <t>text</t>
        </is>
      </c>
      <c r="J11" s="2" t="inlineStr">
        <is>
          <t>typical</t>
        </is>
      </c>
      <c r="K11" s="2" t="inlineStr">
        <is>
          <t>nominal</t>
        </is>
      </c>
      <c r="L11" s="2" t="inlineStr">
        <is>
          <t>draft</t>
        </is>
      </c>
      <c r="M11" s="2" t="inlineStr">
        <is>
          <t>Optional shape descriptor, kept out of physical_partitions.</t>
        </is>
      </c>
      <c r="N11" s="2" t="inlineStr">
        <is>
          <t>2026-05-27</t>
        </is>
      </c>
    </row>
    <row r="12">
      <c r="A12" s="2" t="inlineStr">
        <is>
          <t>M_PART_MAC_BLOCK_AREA</t>
        </is>
      </c>
      <c r="B12" s="2" t="inlineStr">
        <is>
          <t>S2</t>
        </is>
      </c>
      <c r="C12" s="2" t="inlineStr">
        <is>
          <t>physical_partition</t>
        </is>
      </c>
      <c r="D12" s="2" t="inlineStr">
        <is>
          <t>PP_NPU_MAC_ARRAY_block_T0</t>
        </is>
      </c>
      <c r="E12" s="2" t="inlineStr">
        <is>
          <t>block_area</t>
        </is>
      </c>
      <c r="F12" s="2" t="n">
        <v>11.8</v>
      </c>
      <c r="G12" s="2" t="inlineStr">
        <is>
          <t>mm2</t>
        </is>
      </c>
      <c r="H12" s="2" t="inlineStr">
        <is>
          <t>implementation_area</t>
        </is>
      </c>
      <c r="I12" s="2" t="inlineStr">
        <is>
          <t>number</t>
        </is>
      </c>
      <c r="J12" s="2" t="inlineStr">
        <is>
          <t>typical</t>
        </is>
      </c>
      <c r="K12" s="2" t="inlineStr">
        <is>
          <t>nominal</t>
        </is>
      </c>
      <c r="L12" s="2" t="inlineStr">
        <is>
          <t>review</t>
        </is>
      </c>
      <c r="M12" s="2" t="inlineStr">
        <is>
          <t>Implementation block area for MAC array.</t>
        </is>
      </c>
      <c r="N12" s="2" t="inlineStr">
        <is>
          <t>2026-05-27</t>
        </is>
      </c>
    </row>
    <row r="13">
      <c r="A13" s="2" t="inlineStr">
        <is>
          <t>M_PART_SRAM_SRAM_AREA</t>
        </is>
      </c>
      <c r="B13" s="2" t="inlineStr">
        <is>
          <t>S2</t>
        </is>
      </c>
      <c r="C13" s="2" t="inlineStr">
        <is>
          <t>physical_partition</t>
        </is>
      </c>
      <c r="D13" s="2" t="inlineStr">
        <is>
          <t>PP_NPU_SRAM_BANK_sram_T1</t>
        </is>
      </c>
      <c r="E13" s="2" t="inlineStr">
        <is>
          <t>sram_area</t>
        </is>
      </c>
      <c r="F13" s="2" t="n">
        <v>7.6</v>
      </c>
      <c r="G13" s="2" t="inlineStr">
        <is>
          <t>mm2</t>
        </is>
      </c>
      <c r="H13" s="2" t="inlineStr">
        <is>
          <t>implementation_area</t>
        </is>
      </c>
      <c r="I13" s="2" t="inlineStr">
        <is>
          <t>number</t>
        </is>
      </c>
      <c r="J13" s="2" t="inlineStr">
        <is>
          <t>typical</t>
        </is>
      </c>
      <c r="K13" s="2" t="inlineStr">
        <is>
          <t>nominal</t>
        </is>
      </c>
      <c r="L13" s="2" t="inlineStr">
        <is>
          <t>draft</t>
        </is>
      </c>
      <c r="M13" s="2" t="inlineStr">
        <is>
          <t>SRAM area for NPU SRAM bank partition.</t>
        </is>
      </c>
      <c r="N13" s="2" t="inlineStr">
        <is>
          <t>2026-05-27</t>
        </is>
      </c>
    </row>
    <row r="14">
      <c r="A14" s="2" t="inlineStr">
        <is>
          <t>M_PART_GPU_LOGIC_AREA_TOP</t>
        </is>
      </c>
      <c r="B14" s="2" t="inlineStr">
        <is>
          <t>S2</t>
        </is>
      </c>
      <c r="C14" s="2" t="inlineStr">
        <is>
          <t>physical_partition</t>
        </is>
      </c>
      <c r="D14" s="2" t="inlineStr">
        <is>
          <t>PP_GPU_TOP_logic_T0_P1</t>
        </is>
      </c>
      <c r="E14" s="2" t="inlineStr">
        <is>
          <t>logic_area</t>
        </is>
      </c>
      <c r="F14" s="2" t="n">
        <v>12</v>
      </c>
      <c r="G14" s="2" t="inlineStr">
        <is>
          <t>mm2</t>
        </is>
      </c>
      <c r="H14" s="2" t="inlineStr">
        <is>
          <t>implementation_area</t>
        </is>
      </c>
      <c r="I14" s="2" t="inlineStr">
        <is>
          <t>number</t>
        </is>
      </c>
      <c r="J14" s="2" t="inlineStr">
        <is>
          <t>typical</t>
        </is>
      </c>
      <c r="K14" s="2" t="inlineStr">
        <is>
          <t>nominal</t>
        </is>
      </c>
      <c r="L14" s="2" t="inlineStr">
        <is>
          <t>draft</t>
        </is>
      </c>
      <c r="M14" s="2" t="inlineStr">
        <is>
          <t>Logic-side area for GPU top-tier partition.</t>
        </is>
      </c>
      <c r="N14" s="2" t="inlineStr">
        <is>
          <t>2026-05-27</t>
        </is>
      </c>
    </row>
    <row r="15">
      <c r="A15" s="2" t="inlineStr">
        <is>
          <t>M_PART_GPU_LOGIC_AREA_MID</t>
        </is>
      </c>
      <c r="B15" s="2" t="inlineStr">
        <is>
          <t>S2</t>
        </is>
      </c>
      <c r="C15" s="2" t="inlineStr">
        <is>
          <t>physical_partition</t>
        </is>
      </c>
      <c r="D15" s="2" t="inlineStr">
        <is>
          <t>PP_GPU_TOP_logic_T1_P2</t>
        </is>
      </c>
      <c r="E15" s="2" t="inlineStr">
        <is>
          <t>logic_area</t>
        </is>
      </c>
      <c r="F15" s="2" t="n">
        <v>6.7</v>
      </c>
      <c r="G15" s="2" t="inlineStr">
        <is>
          <t>mm2</t>
        </is>
      </c>
      <c r="H15" s="2" t="inlineStr">
        <is>
          <t>implementation_area</t>
        </is>
      </c>
      <c r="I15" s="2" t="inlineStr">
        <is>
          <t>number</t>
        </is>
      </c>
      <c r="J15" s="2" t="inlineStr">
        <is>
          <t>typical</t>
        </is>
      </c>
      <c r="K15" s="2" t="inlineStr">
        <is>
          <t>nominal</t>
        </is>
      </c>
      <c r="L15" s="2" t="inlineStr">
        <is>
          <t>draft</t>
        </is>
      </c>
      <c r="M15" s="2" t="inlineStr">
        <is>
          <t>Logic-side area for GPU middle-tier partition.</t>
        </is>
      </c>
      <c r="N15" s="2" t="inlineStr">
        <is>
          <t>2026-05-27</t>
        </is>
      </c>
    </row>
    <row r="16">
      <c r="A16" s="2" t="inlineStr">
        <is>
          <t>M_PART_GPU_LOGIC_POWER</t>
        </is>
      </c>
      <c r="B16" s="2" t="inlineStr">
        <is>
          <t>S2</t>
        </is>
      </c>
      <c r="C16" s="2" t="inlineStr">
        <is>
          <t>physical_partition</t>
        </is>
      </c>
      <c r="D16" s="2" t="inlineStr">
        <is>
          <t>PP_GPU_TOP_logic_T0_P1</t>
        </is>
      </c>
      <c r="E16" s="2" t="inlineStr">
        <is>
          <t>power</t>
        </is>
      </c>
      <c r="F16" s="2" t="n">
        <v>3.6</v>
      </c>
      <c r="G16" s="2" t="inlineStr">
        <is>
          <t>W</t>
        </is>
      </c>
      <c r="H16" s="2" t="inlineStr">
        <is>
          <t>power</t>
        </is>
      </c>
      <c r="I16" s="2" t="inlineStr">
        <is>
          <t>number</t>
        </is>
      </c>
      <c r="J16" s="2" t="inlineStr">
        <is>
          <t>typical</t>
        </is>
      </c>
      <c r="K16" s="2" t="inlineStr">
        <is>
          <t>peak</t>
        </is>
      </c>
      <c r="L16" s="2" t="inlineStr">
        <is>
          <t>draft</t>
        </is>
      </c>
      <c r="M16" s="2" t="inlineStr">
        <is>
          <t>Power estimate for GPU logic partition.</t>
        </is>
      </c>
      <c r="N16" s="2" t="inlineStr">
        <is>
          <t>2026-05-27</t>
        </is>
      </c>
    </row>
    <row r="17">
      <c r="A17" s="2" t="inlineStr">
        <is>
          <t>M_TIER_T0_POWER</t>
        </is>
      </c>
      <c r="B17" s="2" t="inlineStr">
        <is>
          <t>S2</t>
        </is>
      </c>
      <c r="C17" s="2" t="inlineStr">
        <is>
          <t>tier</t>
        </is>
      </c>
      <c r="D17" s="2" t="inlineStr">
        <is>
          <t>T0</t>
        </is>
      </c>
      <c r="E17" s="2" t="inlineStr">
        <is>
          <t>power</t>
        </is>
      </c>
      <c r="F17" s="2" t="n">
        <v>7.6</v>
      </c>
      <c r="G17" s="2" t="inlineStr">
        <is>
          <t>W</t>
        </is>
      </c>
      <c r="H17" s="2" t="inlineStr">
        <is>
          <t>power</t>
        </is>
      </c>
      <c r="I17" s="2" t="inlineStr">
        <is>
          <t>number</t>
        </is>
      </c>
      <c r="J17" s="2" t="inlineStr">
        <is>
          <t>typical</t>
        </is>
      </c>
      <c r="K17" s="2" t="inlineStr">
        <is>
          <t>peak</t>
        </is>
      </c>
      <c r="L17" s="2" t="inlineStr">
        <is>
          <t>draft</t>
        </is>
      </c>
      <c r="M17" s="2" t="inlineStr">
        <is>
          <t>Tier-level rollup or target.</t>
        </is>
      </c>
      <c r="N17" s="2" t="inlineStr">
        <is>
          <t>2026-05-27</t>
        </is>
      </c>
    </row>
    <row r="18">
      <c r="A18" s="2" t="inlineStr">
        <is>
          <t>M_SCENARIO_AREA</t>
        </is>
      </c>
      <c r="B18" s="2" t="inlineStr">
        <is>
          <t>S2</t>
        </is>
      </c>
      <c r="C18" s="2" t="inlineStr">
        <is>
          <t>scenario</t>
        </is>
      </c>
      <c r="D18" s="2" t="inlineStr">
        <is>
          <t>S2</t>
        </is>
      </c>
      <c r="E18" s="2" t="inlineStr">
        <is>
          <t>area</t>
        </is>
      </c>
      <c r="F18" s="2" t="n">
        <v>74.59999999999999</v>
      </c>
      <c r="G18" s="2" t="inlineStr">
        <is>
          <t>mm2</t>
        </is>
      </c>
      <c r="H18" s="2" t="inlineStr">
        <is>
          <t>physical</t>
        </is>
      </c>
      <c r="I18" s="2" t="inlineStr">
        <is>
          <t>number</t>
        </is>
      </c>
      <c r="J18" s="2" t="inlineStr">
        <is>
          <t>typical</t>
        </is>
      </c>
      <c r="K18" s="2" t="inlineStr">
        <is>
          <t>nominal</t>
        </is>
      </c>
      <c r="L18" s="2" t="inlineStr">
        <is>
          <t>draft</t>
        </is>
      </c>
      <c r="M18" s="2" t="inlineStr">
        <is>
          <t>Scenario-level summary estimate.</t>
        </is>
      </c>
      <c r="N18" s="2" t="inlineStr">
        <is>
          <t>2026-05-27</t>
        </is>
      </c>
    </row>
  </sheetData>
  <autoFilter ref="A1:N18"/>
  <dataValidations count="3">
    <dataValidation sqref="C2:C200" showDropDown="0" showInputMessage="0" showErrorMessage="0" allowBlank="0" type="list">
      <formula1>"logical_component,physical_partition,tier,scenario"</formula1>
    </dataValidation>
    <dataValidation sqref="I2:I200" showDropDown="0" showInputMessage="0" showErrorMessage="0" allowBlank="0" type="list">
      <formula1>"number,text,boolean"</formula1>
    </dataValidation>
    <dataValidation sqref="L2:L200" showDropDown="0" showInputMessage="0" showErrorMessage="0" allowBlank="0" type="list">
      <formula1>"approved,review,draft"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4" customWidth="1" min="3" max="3"/>
    <col width="17" customWidth="1" min="4" max="4"/>
    <col width="44" customWidth="1" min="5" max="5"/>
    <col width="44" customWidth="1" min="6" max="6"/>
  </cols>
  <sheetData>
    <row r="1">
      <c r="A1" s="1" t="inlineStr">
        <is>
          <t>metric_name</t>
        </is>
      </c>
      <c r="B1" s="1" t="inlineStr">
        <is>
          <t>value_type</t>
        </is>
      </c>
      <c r="C1" s="1" t="inlineStr">
        <is>
          <t>default_unit</t>
        </is>
      </c>
      <c r="D1" s="1" t="inlineStr">
        <is>
          <t>metric_category</t>
        </is>
      </c>
      <c r="E1" s="1" t="inlineStr">
        <is>
          <t>applies_to_subject_types</t>
        </is>
      </c>
      <c r="F1" s="1" t="inlineStr">
        <is>
          <t>description</t>
        </is>
      </c>
    </row>
    <row r="2">
      <c r="A2" s="2" t="inlineStr">
        <is>
          <t>signal_count_total</t>
        </is>
      </c>
      <c r="B2" s="2" t="inlineStr">
        <is>
          <t>number</t>
        </is>
      </c>
      <c r="C2" s="2" t="inlineStr">
        <is>
          <t>count</t>
        </is>
      </c>
      <c r="D2" s="2" t="inlineStr">
        <is>
          <t>logical</t>
        </is>
      </c>
      <c r="E2" s="2" t="inlineStr">
        <is>
          <t>logical_component</t>
        </is>
      </c>
      <c r="F2" s="2" t="inlineStr">
        <is>
          <t>Total signal count for the logical module. Phase 1 does not split input/output/inout.</t>
        </is>
      </c>
    </row>
    <row r="3">
      <c r="A3" s="2" t="inlineStr">
        <is>
          <t>logic_area</t>
        </is>
      </c>
      <c r="B3" s="2" t="inlineStr">
        <is>
          <t>number</t>
        </is>
      </c>
      <c r="C3" s="2" t="inlineStr">
        <is>
          <t>mm2</t>
        </is>
      </c>
      <c r="D3" s="2" t="inlineStr">
        <is>
          <t>logical_area</t>
        </is>
      </c>
      <c r="E3" s="2" t="inlineStr">
        <is>
          <t>logical_component</t>
        </is>
      </c>
      <c r="F3" s="2" t="inlineStr">
        <is>
          <t>Logical module logic-only area estimate.</t>
        </is>
      </c>
    </row>
    <row r="4">
      <c r="A4" s="2" t="inlineStr">
        <is>
          <t>sram_area</t>
        </is>
      </c>
      <c r="B4" s="2" t="inlineStr">
        <is>
          <t>number</t>
        </is>
      </c>
      <c r="C4" s="2" t="inlineStr">
        <is>
          <t>mm2</t>
        </is>
      </c>
      <c r="D4" s="2" t="inlineStr">
        <is>
          <t>logical_area</t>
        </is>
      </c>
      <c r="E4" s="2" t="inlineStr">
        <is>
          <t>logical_component</t>
        </is>
      </c>
      <c r="F4" s="2" t="inlineStr">
        <is>
          <t>Logical module SRAM-only area estimate.</t>
        </is>
      </c>
    </row>
    <row r="5">
      <c r="A5" s="2" t="inlineStr">
        <is>
          <t>block_area</t>
        </is>
      </c>
      <c r="B5" s="2" t="inlineStr">
        <is>
          <t>number</t>
        </is>
      </c>
      <c r="C5" s="2" t="inlineStr">
        <is>
          <t>mm2</t>
        </is>
      </c>
      <c r="D5" s="2" t="inlineStr">
        <is>
          <t>logical_area</t>
        </is>
      </c>
      <c r="E5" s="2" t="inlineStr">
        <is>
          <t>logical_component</t>
        </is>
      </c>
      <c r="F5" s="2" t="inlineStr">
        <is>
          <t>Logical module total block area estimate, including early overhead.</t>
        </is>
      </c>
    </row>
    <row r="6">
      <c r="A6" s="2" t="inlineStr">
        <is>
          <t>area</t>
        </is>
      </c>
      <c r="B6" s="2" t="inlineStr">
        <is>
          <t>number</t>
        </is>
      </c>
      <c r="C6" s="2" t="inlineStr">
        <is>
          <t>mm2</t>
        </is>
      </c>
      <c r="D6" s="2" t="inlineStr">
        <is>
          <t>physical</t>
        </is>
      </c>
      <c r="E6" s="2" t="inlineStr">
        <is>
          <t>tier,scenario</t>
        </is>
      </c>
      <c r="F6" s="2" t="inlineStr">
        <is>
          <t>Tier or scenario area estimate. Logical modules and physical partitions use logic_area/sram_area/block_area.</t>
        </is>
      </c>
    </row>
    <row r="7">
      <c r="A7" s="2" t="inlineStr">
        <is>
          <t>power</t>
        </is>
      </c>
      <c r="B7" s="2" t="inlineStr">
        <is>
          <t>number</t>
        </is>
      </c>
      <c r="C7" s="2" t="inlineStr">
        <is>
          <t>W</t>
        </is>
      </c>
      <c r="D7" s="2" t="inlineStr">
        <is>
          <t>power</t>
        </is>
      </c>
      <c r="E7" s="2" t="inlineStr">
        <is>
          <t>logical_component,physical_partition,tier,scenario</t>
        </is>
      </c>
      <c r="F7" s="2" t="inlineStr">
        <is>
          <t>Power estimate.</t>
        </is>
      </c>
    </row>
    <row r="8">
      <c r="A8" s="2" t="inlineStr">
        <is>
          <t>memoryMb</t>
        </is>
      </c>
      <c r="B8" s="2" t="inlineStr">
        <is>
          <t>number</t>
        </is>
      </c>
      <c r="C8" s="2" t="inlineStr">
        <is>
          <t>Mb</t>
        </is>
      </c>
      <c r="D8" s="2" t="inlineStr">
        <is>
          <t>memory</t>
        </is>
      </c>
      <c r="E8" s="2" t="inlineStr">
        <is>
          <t>logical_component,physical_partition</t>
        </is>
      </c>
      <c r="F8" s="2" t="inlineStr">
        <is>
          <t>Memory capacity.</t>
        </is>
      </c>
    </row>
    <row r="9">
      <c r="A9" s="2" t="inlineStr">
        <is>
          <t>shape_type</t>
        </is>
      </c>
      <c r="B9" s="2" t="inlineStr">
        <is>
          <t>text</t>
        </is>
      </c>
      <c r="C9" s="2" t="inlineStr"/>
      <c r="D9" s="2" t="inlineStr">
        <is>
          <t>physical_shape</t>
        </is>
      </c>
      <c r="E9" s="2" t="inlineStr">
        <is>
          <t>physical_partition</t>
        </is>
      </c>
      <c r="F9" s="2" t="inlineStr">
        <is>
          <t>Optional early shape descriptor, not a required partition column.</t>
        </is>
      </c>
    </row>
    <row r="10">
      <c r="A10" s="2" t="inlineStr">
        <is>
          <t>width_mm</t>
        </is>
      </c>
      <c r="B10" s="2" t="inlineStr">
        <is>
          <t>number</t>
        </is>
      </c>
      <c r="C10" s="2" t="inlineStr">
        <is>
          <t>mm</t>
        </is>
      </c>
      <c r="D10" s="2" t="inlineStr">
        <is>
          <t>physical_shape</t>
        </is>
      </c>
      <c r="E10" s="2" t="inlineStr">
        <is>
          <t>physical_partition</t>
        </is>
      </c>
      <c r="F10" s="2" t="inlineStr">
        <is>
          <t>Optional width metric when floorplan detail becomes available.</t>
        </is>
      </c>
    </row>
    <row r="11">
      <c r="A11" s="2" t="inlineStr">
        <is>
          <t>height_mm</t>
        </is>
      </c>
      <c r="B11" s="2" t="inlineStr">
        <is>
          <t>number</t>
        </is>
      </c>
      <c r="C11" s="2" t="inlineStr">
        <is>
          <t>mm</t>
        </is>
      </c>
      <c r="D11" s="2" t="inlineStr">
        <is>
          <t>physical_shape</t>
        </is>
      </c>
      <c r="E11" s="2" t="inlineStr">
        <is>
          <t>physical_partition</t>
        </is>
      </c>
      <c r="F11" s="2" t="inlineStr">
        <is>
          <t>Optional height metric when floorplan detail becomes available.</t>
        </is>
      </c>
    </row>
    <row r="12">
      <c r="A12" s="2" t="inlineStr">
        <is>
          <t>utilization</t>
        </is>
      </c>
      <c r="B12" s="2" t="inlineStr">
        <is>
          <t>number</t>
        </is>
      </c>
      <c r="C12" s="2" t="inlineStr">
        <is>
          <t>%</t>
        </is>
      </c>
      <c r="D12" s="2" t="inlineStr">
        <is>
          <t>physical</t>
        </is>
      </c>
      <c r="E12" s="2" t="inlineStr">
        <is>
          <t>physical_partition,tier</t>
        </is>
      </c>
      <c r="F12" s="2" t="inlineStr">
        <is>
          <t>Optional utilization estimate.</t>
        </is>
      </c>
    </row>
  </sheetData>
  <autoFilter ref="A1:F1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44" customWidth="1" min="2" max="2"/>
  </cols>
  <sheetData>
    <row r="1">
      <c r="A1" s="1" t="inlineStr">
        <is>
          <t>Question</t>
        </is>
      </c>
      <c r="B1" s="1" t="inlineStr">
        <is>
          <t>How v7 represents it</t>
        </is>
      </c>
    </row>
    <row r="2">
      <c r="A2" s="2" t="inlineStr">
        <is>
          <t>Logic does not expand repeated instances</t>
        </is>
      </c>
      <c r="B2" s="2" t="inlineStr">
        <is>
          <t>logical_components has one B30 NPU_MAC_ARRAY row with logical_instance_count=4.</t>
        </is>
      </c>
    </row>
    <row r="3">
      <c r="A3" s="2" t="inlineStr">
        <is>
          <t>Physical count is explicit</t>
        </is>
      </c>
      <c r="B3" s="2" t="inlineStr">
        <is>
          <t>physical_partitions maps B30 into physical_instance_count 4 for each required resource category.</t>
        </is>
      </c>
    </row>
    <row r="4">
      <c r="A4" s="2" t="inlineStr">
        <is>
          <t>Logical table stays compact</t>
        </is>
      </c>
      <c r="B4" s="2" t="inlineStr">
        <is>
          <t>Signal count and logical area breakdowns live in metrics with subject_type=logical_component.</t>
        </is>
      </c>
    </row>
    <row r="5">
      <c r="A5" s="2" t="inlineStr">
        <is>
          <t>Logical area uses three explicit metrics</t>
        </is>
      </c>
      <c r="B5" s="2" t="inlineStr">
        <is>
          <t>logic_area, sram_area, and block_area avoid ambiguous overlap with implementation-level area.</t>
        </is>
      </c>
    </row>
    <row r="6">
      <c r="A6" s="2" t="inlineStr">
        <is>
          <t>Resource categories close independently</t>
        </is>
      </c>
      <c r="B6" s="2" t="inlineStr">
        <is>
          <t>logic, sram, and block rows each close equivalent instance coverage separately.</t>
        </is>
      </c>
    </row>
    <row r="7">
      <c r="A7" s="2" t="inlineStr">
        <is>
          <t>Same die can still have different physical styles</t>
        </is>
      </c>
      <c r="B7" s="2" t="inlineStr">
        <is>
          <t>Use multiple partial rows with generated suffixes and put shape details in metrics.</t>
        </is>
      </c>
    </row>
    <row r="8">
      <c r="A8" s="2" t="inlineStr">
        <is>
          <t>One logical module is partitioned across dies</t>
        </is>
      </c>
      <c r="B8" s="2" t="inlineStr">
        <is>
          <t>B2 GPU_TOP logic maps to top and middle tiers with content_share 0.65 and 0.35.</t>
        </is>
      </c>
    </row>
    <row r="9">
      <c r="A9" s="2" t="inlineStr">
        <is>
          <t>Residual subsystem partition</t>
        </is>
      </c>
      <c r="B9" s="2" t="inlineStr">
        <is>
          <t>Parent residual/self area is derived from parent total metrics minus direct child metrics; no parent_residual component row is stored.</t>
        </is>
      </c>
    </row>
    <row r="10">
      <c r="A10" s="2" t="inlineStr">
        <is>
          <t>Metrics avoid overlap</t>
        </is>
      </c>
      <c r="B10" s="2" t="inlineStr">
        <is>
          <t>The same metric_name can appear at logical_component, physical_partition, tier, or scenario level; subject_type defines meaning.</t>
        </is>
      </c>
    </row>
  </sheetData>
  <autoFilter ref="A1:B10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19" customWidth="1" min="3" max="3"/>
    <col width="15" customWidth="1" min="4" max="4"/>
    <col width="24" customWidth="1" min="5" max="5"/>
    <col width="44" customWidth="1" min="6" max="6"/>
    <col width="37" customWidth="1" min="7" max="7"/>
    <col width="44" customWidth="1" min="8" max="8"/>
  </cols>
  <sheetData>
    <row r="1">
      <c r="A1" s="1" t="inlineStr">
        <is>
          <t>scenario_id</t>
        </is>
      </c>
      <c r="B1" s="1" t="inlineStr">
        <is>
          <t>logical_component_id</t>
        </is>
      </c>
      <c r="C1" s="1" t="inlineStr">
        <is>
          <t>resource_category</t>
        </is>
      </c>
      <c r="D1" s="1" t="inlineStr">
        <is>
          <t>logical_name</t>
        </is>
      </c>
      <c r="E1" s="1" t="inlineStr">
        <is>
          <t>logical_instance_count</t>
        </is>
      </c>
      <c r="F1" s="1" t="inlineStr">
        <is>
          <t>equivalent_instances</t>
        </is>
      </c>
      <c r="G1" s="1" t="inlineStr">
        <is>
          <t>status</t>
        </is>
      </c>
      <c r="H1" s="1" t="inlineStr">
        <is>
          <t>note</t>
        </is>
      </c>
    </row>
    <row r="2">
      <c r="A2" s="2" t="inlineStr">
        <is>
          <t>S2</t>
        </is>
      </c>
      <c r="B2" s="2" t="inlineStr">
        <is>
          <t>B30</t>
        </is>
      </c>
      <c r="C2" s="2" t="inlineStr">
        <is>
          <t>logic</t>
        </is>
      </c>
      <c r="D2" s="2" t="inlineStr">
        <is>
          <t>NPU_MAC_ARRAY</t>
        </is>
      </c>
      <c r="E2" s="2" t="n">
        <v>4</v>
      </c>
      <c r="F2" s="2">
        <f>SUMPRODUCT((physical_partitions!$B$2:$B$100=A2)*(physical_partitions!$C$2:$C$100=B2)*(physical_partitions!$F$2:$F$100=C2)*physical_partitions!$H$2:$H$100*physical_partitions!$I$2:$I$100)</f>
        <v/>
      </c>
      <c r="G2" s="2">
        <f>IF(E2=F2,"OK","CHECK")</f>
        <v/>
      </c>
      <c r="H2" s="2" t="inlineStr">
        <is>
          <t>MAC logic closes to four copies.</t>
        </is>
      </c>
    </row>
    <row r="3">
      <c r="A3" s="2" t="inlineStr">
        <is>
          <t>S2</t>
        </is>
      </c>
      <c r="B3" s="2" t="inlineStr">
        <is>
          <t>B30</t>
        </is>
      </c>
      <c r="C3" s="2" t="inlineStr">
        <is>
          <t>block</t>
        </is>
      </c>
      <c r="D3" s="2" t="inlineStr">
        <is>
          <t>NPU_MAC_ARRAY</t>
        </is>
      </c>
      <c r="E3" s="2" t="n">
        <v>4</v>
      </c>
      <c r="F3" s="2">
        <f>SUMPRODUCT((physical_partitions!$B$2:$B$100=A3)*(physical_partitions!$C$2:$C$100=B3)*(physical_partitions!$F$2:$F$100=C3)*physical_partitions!$H$2:$H$100*physical_partitions!$I$2:$I$100)</f>
        <v/>
      </c>
      <c r="G3" s="2">
        <f>IF(E3=F3,"OK","CHECK")</f>
        <v/>
      </c>
      <c r="H3" s="2" t="inlineStr">
        <is>
          <t>MAC block content closes separately.</t>
        </is>
      </c>
    </row>
    <row r="4">
      <c r="A4" s="2" t="inlineStr">
        <is>
          <t>S2</t>
        </is>
      </c>
      <c r="B4" s="2" t="inlineStr">
        <is>
          <t>B8</t>
        </is>
      </c>
      <c r="C4" s="2" t="inlineStr">
        <is>
          <t>sram</t>
        </is>
      </c>
      <c r="D4" s="2" t="inlineStr">
        <is>
          <t>NPU_SRAM_BANK</t>
        </is>
      </c>
      <c r="E4" s="2" t="n">
        <v>2</v>
      </c>
      <c r="F4" s="2">
        <f>SUMPRODUCT((physical_partitions!$B$2:$B$100=A4)*(physical_partitions!$C$2:$C$100=B4)*(physical_partitions!$F$2:$F$100=C4)*physical_partitions!$H$2:$H$100*physical_partitions!$I$2:$I$100)</f>
        <v/>
      </c>
      <c r="G4" s="2">
        <f>IF(E4=F4,"OK","CHECK")</f>
        <v/>
      </c>
      <c r="H4" s="2" t="inlineStr">
        <is>
          <t>SRAM content closes to two copies.</t>
        </is>
      </c>
    </row>
    <row r="5">
      <c r="A5" s="2" t="inlineStr">
        <is>
          <t>S2</t>
        </is>
      </c>
      <c r="B5" s="2" t="inlineStr">
        <is>
          <t>B2</t>
        </is>
      </c>
      <c r="C5" s="2" t="inlineStr">
        <is>
          <t>logic</t>
        </is>
      </c>
      <c r="D5" s="2" t="inlineStr">
        <is>
          <t>GPU_TOP</t>
        </is>
      </c>
      <c r="E5" s="2" t="n">
        <v>1</v>
      </c>
      <c r="F5" s="2">
        <f>SUMPRODUCT((physical_partitions!$B$2:$B$100=A5)*(physical_partitions!$C$2:$C$100=B5)*(physical_partitions!$F$2:$F$100=C5)*physical_partitions!$H$2:$H$100*physical_partitions!$I$2:$I$100)</f>
        <v/>
      </c>
      <c r="G5" s="2">
        <f>IF(ABS(E5-F5)&lt;0.0001,"OK","CHECK")</f>
        <v/>
      </c>
      <c r="H5" s="2" t="inlineStr">
        <is>
          <t>GPU residual/self logic is split by content_share across two tiers.</t>
        </is>
      </c>
    </row>
    <row r="6">
      <c r="A6" s="2" t="inlineStr">
        <is>
          <t>S2</t>
        </is>
      </c>
      <c r="B6" s="2" t="inlineStr">
        <is>
          <t>B5</t>
        </is>
      </c>
      <c r="C6" s="2" t="inlineStr">
        <is>
          <t>block</t>
        </is>
      </c>
      <c r="D6" s="2" t="inlineStr">
        <is>
          <t>DDR_PHY</t>
        </is>
      </c>
      <c r="E6" s="2" t="n">
        <v>1</v>
      </c>
      <c r="F6" s="2">
        <f>SUMPRODUCT((physical_partitions!$B$2:$B$100=A6)*(physical_partitions!$C$2:$C$100=B6)*(physical_partitions!$F$2:$F$100=C6)*physical_partitions!$H$2:$H$100*physical_partitions!$I$2:$I$100)</f>
        <v/>
      </c>
      <c r="G6" s="2">
        <f>IF(E6=F6,"OK","CHECK")</f>
        <v/>
      </c>
      <c r="H6" s="2" t="inlineStr">
        <is>
          <t>Fixed PHY block content has one full physical partition.</t>
        </is>
      </c>
    </row>
  </sheetData>
  <autoFilter ref="A1:H6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2026-06-08T02:28:45Z</dcterms:created>
  <dcterms:modified xsi:type="dcterms:W3CDTF">2026-06-08T02:28:46Z</dcterms:modified>
</cp:coreProperties>
</file>