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tric_dictionary" sheetId="2" state="visible" r:id="rId2"/>
    <sheet name="projects" sheetId="3" state="visible" r:id="rId3"/>
    <sheet name="scenarios" sheetId="4" state="visible" r:id="rId4"/>
    <sheet name="process_nodes" sheetId="5" state="visible" r:id="rId5"/>
    <sheet name="components" sheetId="6" state="visible" r:id="rId6"/>
    <sheet name="tiers" sheetId="7" state="visible" r:id="rId7"/>
    <sheet name="component_metrics" sheetId="8" state="visible" r:id="rId8"/>
  </sheets>
  <definedNames>
    <definedName name="_xlnm._FilterDatabase" localSheetId="7" hidden="1">'component_metrics'!$A$1:$K$37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etric_dictionary_table" displayName="metric_dictionary_table" ref="A1:E7" headerRowCount="1">
  <autoFilter ref="A1:E7"/>
  <tableColumns count="5">
    <tableColumn id="1" name="metric_name"/>
    <tableColumn id="2" name="default_unit"/>
    <tableColumn id="3" name="metric_category"/>
    <tableColumn id="4" name="recommended_workload"/>
    <tableColumn id="5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I3" headerRowCount="1">
  <autoFilter ref="A1:I3"/>
  <tableColumns count="9">
    <tableColumn id="1" name="id"/>
    <tableColumn id="2" name="name"/>
    <tableColumn id="3" name="product_family"/>
    <tableColumn id="4" name="generation"/>
    <tableColumn id="5" name="owner"/>
    <tableColumn id="6" name="phase"/>
    <tableColumn id="7" name="description"/>
    <tableColumn id="8" name="created_at"/>
    <tableColumn id="9" name="updated_a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I4" headerRowCount="1">
  <autoFilter ref="A1:I4"/>
  <tableColumns count="9">
    <tableColumn id="1" name="id"/>
    <tableColumn id="2" name="project_id"/>
    <tableColumn id="3" name="name"/>
    <tableColumn id="4" name="scenario_type"/>
    <tableColumn id="5" name="process_combo"/>
    <tableColumn id="6" name="description"/>
    <tableColumn id="7" name="status"/>
    <tableColumn id="8" name="created_at"/>
    <tableColumn id="9" name="updated_a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cess_nodes_table" displayName="process_nodes_table" ref="A1:I3" headerRowCount="1">
  <autoFilter ref="A1:I3"/>
  <tableColumns count="9">
    <tableColumn id="1" name="id"/>
    <tableColumn id="2" name="foundry"/>
    <tableColumn id="3" name="node_name"/>
    <tableColumn id="4" name="logic_density_mtr_per_mm2"/>
    <tableColumn id="5" name="sram_density_mb_per_mm2"/>
    <tableColumn id="6" name="voltage_nominal"/>
    <tableColumn id="7" name="cost_factor"/>
    <tableColumn id="8" name="maturity_level"/>
    <tableColumn id="9" name="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mponents_table" displayName="components_table" ref="A1:I10" headerRowCount="1">
  <autoFilter ref="A1:I10"/>
  <tableColumns count="9">
    <tableColumn id="1" name="id"/>
    <tableColumn id="2" name="project_id"/>
    <tableColumn id="3" name="parent_id"/>
    <tableColumn id="4" name="name"/>
    <tableColumn id="5" name="instance_type"/>
    <tableColumn id="6" name="resource_type"/>
    <tableColumn id="7" name="function_domain"/>
    <tableColumn id="8" name="hierarchy_path"/>
    <tableColumn id="9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iers_table" displayName="tiers_table" ref="A1:J4" headerRowCount="1">
  <autoFilter ref="A1:J4"/>
  <tableColumns count="10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thickness_um"/>
    <tableColumn id="9" name="area_limit_mm2"/>
    <tableColumn id="10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component_metrics_table" displayName="component_metrics_table" ref="A1:K37" headerRowCount="1">
  <autoFilter ref="A1:K37"/>
  <tableColumns count="11">
    <tableColumn id="1" name="id"/>
    <tableColumn id="2" name="scenario_id"/>
    <tableColumn id="3" name="instance_id"/>
    <tableColumn id="4" name="metric_name"/>
    <tableColumn id="5" name="metric_value"/>
    <tableColumn id="6" name="metric_unit"/>
    <tableColumn id="7" name="metric_category"/>
    <tableColumn id="8" name="corner"/>
    <tableColumn id="9" name="workload"/>
    <tableColumn id="10" name="confidence"/>
    <tableColumn id="11" name="created_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SoC Cross-Die Database Import Template</t>
        </is>
      </c>
      <c r="B1" s="1" t="n"/>
    </row>
    <row r="2">
      <c r="A2" s="2" t="inlineStr">
        <is>
          <t>Keep sheet names and column names unchanged. IDs are stable keys used for upsert imports.</t>
        </is>
      </c>
      <c r="B2" s="2" t="n"/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Purpose</t>
        </is>
      </c>
    </row>
    <row r="5">
      <c r="A5" s="2" t="inlineStr">
        <is>
          <t>projects</t>
        </is>
      </c>
      <c r="B5" s="2" t="inlineStr">
        <is>
          <t>Project master data</t>
        </is>
      </c>
    </row>
    <row r="6">
      <c r="A6" s="2" t="inlineStr">
        <is>
          <t>scenarios</t>
        </is>
      </c>
      <c r="B6" s="2" t="inlineStr">
        <is>
          <t>Architecture scenarios linked to projects</t>
        </is>
      </c>
    </row>
    <row r="7">
      <c r="A7" s="2" t="inlineStr">
        <is>
          <t>process_nodes</t>
        </is>
      </c>
      <c r="B7" s="2" t="inlineStr">
        <is>
          <t>Foundry/process reference data</t>
        </is>
      </c>
    </row>
    <row r="8">
      <c r="A8" s="2" t="inlineStr">
        <is>
          <t>components</t>
        </is>
      </c>
      <c r="B8" s="2" t="inlineStr">
        <is>
          <t>Component/block hierarchy. parent_id may be blank only for root nodes.</t>
        </is>
      </c>
    </row>
    <row r="9">
      <c r="A9" s="2" t="inlineStr">
        <is>
          <t>tiers</t>
        </is>
      </c>
      <c r="B9" s="2" t="inlineStr">
        <is>
          <t>3D stack tier definitions linked to scenarios and process_nodes</t>
        </is>
      </c>
    </row>
    <row r="10">
      <c r="A10" s="2" t="inlineStr">
        <is>
          <t>component_metrics</t>
        </is>
      </c>
      <c r="B10" s="2" t="inlineStr">
        <is>
          <t>Scenario-specific area, power, memory, logic, and other metrics</t>
        </is>
      </c>
    </row>
    <row r="11">
      <c r="A11" s="2" t="inlineStr">
        <is>
          <t>metric_dictionary</t>
        </is>
      </c>
      <c r="B11" s="2" t="inlineStr">
        <is>
          <t>Allowed metric names and default unit/category/workload mapping</t>
        </is>
      </c>
    </row>
    <row r="12">
      <c r="A12" s="2" t="inlineStr"/>
      <c r="B12" s="2" t="n"/>
    </row>
    <row r="13">
      <c r="A13" s="2" t="inlineStr">
        <is>
          <t>Metric maintenance note</t>
        </is>
      </c>
      <c r="B13" s="2" t="n"/>
    </row>
    <row r="14">
      <c r="A14" s="2" t="inlineStr">
        <is>
          <t>In component_metrics, fill scenario_id, instance_id, metric_name, metric_value, corner, confidence, and created_at. The id/unit/category/workload cells are formula-assisted and the backend can also fill them if formulas are not cached.</t>
        </is>
      </c>
      <c r="B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2" customWidth="1" min="4" max="4"/>
    <col width="42" customWidth="1" min="5" max="5"/>
  </cols>
  <sheetData>
    <row r="1">
      <c r="A1" s="1" t="inlineStr">
        <is>
          <t>metric_name</t>
        </is>
      </c>
      <c r="B1" s="1" t="inlineStr">
        <is>
          <t>default_unit</t>
        </is>
      </c>
      <c r="C1" s="1" t="inlineStr">
        <is>
          <t>metric_category</t>
        </is>
      </c>
      <c r="D1" s="1" t="inlineStr">
        <is>
          <t>recommended_workload</t>
        </is>
      </c>
      <c r="E1" s="1" t="inlineStr">
        <is>
          <t>description</t>
        </is>
      </c>
    </row>
    <row r="2">
      <c r="A2" s="2" t="inlineStr">
        <is>
          <t>logicMTr</t>
        </is>
      </c>
      <c r="B2" s="2" t="inlineStr">
        <is>
          <t>MTr</t>
        </is>
      </c>
      <c r="C2" s="2" t="inlineStr">
        <is>
          <t>scale</t>
        </is>
      </c>
      <c r="D2" s="2" t="inlineStr">
        <is>
          <t>nominal</t>
        </is>
      </c>
      <c r="E2" s="2" t="inlineStr">
        <is>
          <t>Logic transistor scale in million transistors.</t>
        </is>
      </c>
    </row>
    <row r="3">
      <c r="A3" s="2" t="inlineStr">
        <is>
          <t>memoryMb</t>
        </is>
      </c>
      <c r="B3" s="2" t="inlineStr">
        <is>
          <t>Mb</t>
        </is>
      </c>
      <c r="C3" s="2" t="inlineStr">
        <is>
          <t>memory</t>
        </is>
      </c>
      <c r="D3" s="2" t="inlineStr">
        <is>
          <t>nominal</t>
        </is>
      </c>
      <c r="E3" s="2" t="inlineStr">
        <is>
          <t>Modeled SRAM/cache/memory macro capacity.</t>
        </is>
      </c>
    </row>
    <row r="4">
      <c r="A4" s="2" t="inlineStr">
        <is>
          <t>area</t>
        </is>
      </c>
      <c r="B4" s="2" t="inlineStr">
        <is>
          <t>mm2</t>
        </is>
      </c>
      <c r="C4" s="2" t="inlineStr">
        <is>
          <t>physical</t>
        </is>
      </c>
      <c r="D4" s="2" t="inlineStr">
        <is>
          <t>nominal</t>
        </is>
      </c>
      <c r="E4" s="2" t="inlineStr">
        <is>
          <t>Physical area estimate for the selected scenario.</t>
        </is>
      </c>
    </row>
    <row r="5">
      <c r="A5" s="2" t="inlineStr">
        <is>
          <t>power</t>
        </is>
      </c>
      <c r="B5" s="2" t="inlineStr">
        <is>
          <t>W</t>
        </is>
      </c>
      <c r="C5" s="2" t="inlineStr">
        <is>
          <t>power</t>
        </is>
      </c>
      <c r="D5" s="2" t="inlineStr">
        <is>
          <t>peak</t>
        </is>
      </c>
      <c r="E5" s="2" t="inlineStr">
        <is>
          <t>Power estimate for the selected workload.</t>
        </is>
      </c>
    </row>
    <row r="6">
      <c r="A6" s="2" t="inlineStr">
        <is>
          <t>frequency</t>
        </is>
      </c>
      <c r="B6" s="2" t="inlineStr">
        <is>
          <t>GHz</t>
        </is>
      </c>
      <c r="C6" s="2" t="inlineStr">
        <is>
          <t>performance</t>
        </is>
      </c>
      <c r="D6" s="2" t="inlineStr">
        <is>
          <t>peak</t>
        </is>
      </c>
      <c r="E6" s="2" t="inlineStr">
        <is>
          <t>Target or achieved operating frequency.</t>
        </is>
      </c>
    </row>
    <row r="7">
      <c r="A7" s="2" t="inlineStr">
        <is>
          <t>utilization</t>
        </is>
      </c>
      <c r="B7" s="2" t="inlineStr">
        <is>
          <t>%</t>
        </is>
      </c>
      <c r="C7" s="2" t="inlineStr">
        <is>
          <t>physical</t>
        </is>
      </c>
      <c r="D7" s="2" t="inlineStr">
        <is>
          <t>nominal</t>
        </is>
      </c>
      <c r="E7" s="2" t="inlineStr">
        <is>
          <t>Floorplan or tier utilization percentage.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24" customWidth="1" min="5" max="5"/>
    <col width="23" customWidth="1" min="6" max="6"/>
    <col width="41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  <c r="G1" s="1" t="inlineStr">
        <is>
          <t>description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  <c r="G2" s="2" t="inlineStr">
        <is>
          <t>Phase-1 architecture planning baseline.</t>
        </is>
      </c>
      <c r="H2" s="2" t="inlineStr">
        <is>
          <t>2026-05-27</t>
        </is>
      </c>
      <c r="I2" s="2" t="inlineStr">
        <is>
          <t>2026-05-27</t>
        </is>
      </c>
    </row>
    <row r="3">
      <c r="A3" s="2" t="inlineStr">
        <is>
          <t>P002</t>
        </is>
      </c>
      <c r="B3" s="2" t="inlineStr">
        <is>
          <t>Mobile SoC Gen-B</t>
        </is>
      </c>
      <c r="C3" s="2" t="inlineStr">
        <is>
          <t>Flagship Mobile SoC</t>
        </is>
      </c>
      <c r="D3" s="2" t="inlineStr">
        <is>
          <t>Gen-B</t>
        </is>
      </c>
      <c r="E3" s="2" t="inlineStr">
        <is>
          <t>Product + Architecture</t>
        </is>
      </c>
      <c r="F3" s="2" t="inlineStr">
        <is>
          <t>Pre-Study</t>
        </is>
      </c>
      <c r="G3" s="2" t="inlineStr">
        <is>
          <t>Next-generation pre-study project.</t>
        </is>
      </c>
      <c r="H3" s="2" t="inlineStr">
        <is>
          <t>2026-05-27</t>
        </is>
      </c>
      <c r="I3" s="2" t="inlineStr">
        <is>
          <t>2026-05-27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5" customWidth="1" min="5" max="5"/>
    <col width="4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inlineStr">
        <is>
          <t>S1</t>
        </is>
      </c>
      <c r="B2" s="2" t="inlineStr">
        <is>
          <t>P001</t>
        </is>
      </c>
      <c r="C2" s="2" t="inlineStr">
        <is>
          <t>2D Baseline</t>
        </is>
      </c>
      <c r="D2" s="2" t="inlineStr">
        <is>
          <t>1 die</t>
        </is>
      </c>
      <c r="E2" s="2" t="inlineStr">
        <is>
          <t>N5 monolithic</t>
        </is>
      </c>
      <c r="F2" s="2" t="inlineStr">
        <is>
          <t>Current 2D planning baseline for cross-generation comparison.</t>
        </is>
      </c>
      <c r="G2" s="2" t="inlineStr">
        <is>
          <t>Low</t>
        </is>
      </c>
      <c r="H2" s="2" t="inlineStr">
        <is>
          <t>2026-05-27</t>
        </is>
      </c>
      <c r="I2" s="2" t="inlineStr">
        <is>
          <t>2026-05-27</t>
        </is>
      </c>
    </row>
    <row r="3">
      <c r="A3" s="2" t="inlineStr">
        <is>
          <t>S2</t>
        </is>
      </c>
      <c r="B3" s="2" t="inlineStr">
        <is>
          <t>P001</t>
        </is>
      </c>
      <c r="C3" s="2" t="inlineStr">
        <is>
          <t>3DIC Option A</t>
        </is>
      </c>
      <c r="D3" s="2" t="inlineStr">
        <is>
          <t>3 tiers W2W</t>
        </is>
      </c>
      <c r="E3" s="2" t="inlineStr">
        <is>
          <t>N5 + N7 + N7</t>
        </is>
      </c>
      <c r="F3" s="2" t="inlineStr">
        <is>
          <t>Top N5 logic, middle N7 logic/memory, bottom N7 IO/PHY/PDN.</t>
        </is>
      </c>
      <c r="G3" s="2" t="inlineStr">
        <is>
          <t>High</t>
        </is>
      </c>
      <c r="H3" s="2" t="inlineStr">
        <is>
          <t>2026-05-27</t>
        </is>
      </c>
      <c r="I3" s="2" t="inlineStr">
        <is>
          <t>2026-05-27</t>
        </is>
      </c>
    </row>
    <row r="4">
      <c r="A4" s="2" t="inlineStr">
        <is>
          <t>S3</t>
        </is>
      </c>
      <c r="B4" s="2" t="inlineStr">
        <is>
          <t>P001</t>
        </is>
      </c>
      <c r="C4" s="2" t="inlineStr">
        <is>
          <t>Cost-Reduced Option</t>
        </is>
      </c>
      <c r="D4" s="2" t="inlineStr">
        <is>
          <t>2 tiers W2W</t>
        </is>
      </c>
      <c r="E4" s="2" t="inlineStr">
        <is>
          <t>N7 + N7</t>
        </is>
      </c>
      <c r="F4" s="2" t="inlineStr">
        <is>
          <t>More conservative 2-tier split with lower process cost.</t>
        </is>
      </c>
      <c r="G4" s="2" t="inlineStr">
        <is>
          <t>Medium</t>
        </is>
      </c>
      <c r="H4" s="2" t="inlineStr">
        <is>
          <t>2026-05-27</t>
        </is>
      </c>
      <c r="I4" s="2" t="inlineStr">
        <is>
          <t>2026-05-27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25" customWidth="1" min="5" max="5"/>
    <col width="17" customWidth="1" min="6" max="6"/>
    <col width="13" customWidth="1" min="7" max="7"/>
    <col width="16" customWidth="1" min="8" max="8"/>
    <col width="42" customWidth="1" min="9" max="9"/>
  </cols>
  <sheetData>
    <row r="1">
      <c r="A1" s="1" t="inlineStr">
        <is>
          <t>id</t>
        </is>
      </c>
      <c r="B1" s="1" t="inlineStr">
        <is>
          <t>foundry</t>
        </is>
      </c>
      <c r="C1" s="1" t="inlineStr">
        <is>
          <t>node_name</t>
        </is>
      </c>
      <c r="D1" s="1" t="inlineStr">
        <is>
          <t>logic_density_mtr_per_mm2</t>
        </is>
      </c>
      <c r="E1" s="1" t="inlineStr">
        <is>
          <t>sram_density_mb_per_mm2</t>
        </is>
      </c>
      <c r="F1" s="1" t="inlineStr">
        <is>
          <t>voltage_nominal</t>
        </is>
      </c>
      <c r="G1" s="1" t="inlineStr">
        <is>
          <t>cost_factor</t>
        </is>
      </c>
      <c r="H1" s="1" t="inlineStr">
        <is>
          <t>maturity_level</t>
        </is>
      </c>
      <c r="I1" s="1" t="inlineStr">
        <is>
          <t>description</t>
        </is>
      </c>
    </row>
    <row r="2">
      <c r="A2" s="2" t="inlineStr">
        <is>
          <t>PN5</t>
        </is>
      </c>
      <c r="B2" s="2" t="inlineStr">
        <is>
          <t>TSMC</t>
        </is>
      </c>
      <c r="C2" s="2" t="inlineStr">
        <is>
          <t>N5</t>
        </is>
      </c>
      <c r="D2" s="2" t="n">
        <v>171.3</v>
      </c>
      <c r="E2" s="2" t="n">
        <v>1.35</v>
      </c>
      <c r="F2" s="2" t="n">
        <v>0.75</v>
      </c>
      <c r="G2" s="2" t="n">
        <v>1.4</v>
      </c>
      <c r="H2" s="2" t="inlineStr">
        <is>
          <t>Production</t>
        </is>
      </c>
      <c r="I2" s="2" t="inlineStr">
        <is>
          <t>High-performance logic process.</t>
        </is>
      </c>
    </row>
    <row r="3">
      <c r="A3" s="2" t="inlineStr">
        <is>
          <t>PN7</t>
        </is>
      </c>
      <c r="B3" s="2" t="inlineStr">
        <is>
          <t>TSMC</t>
        </is>
      </c>
      <c r="C3" s="2" t="inlineStr">
        <is>
          <t>N7</t>
        </is>
      </c>
      <c r="D3" s="2" t="n">
        <v>113.9</v>
      </c>
      <c r="E3" s="2" t="n">
        <v>1</v>
      </c>
      <c r="F3" s="2" t="n">
        <v>0.8</v>
      </c>
      <c r="G3" s="2" t="n">
        <v>1</v>
      </c>
      <c r="H3" s="2" t="inlineStr">
        <is>
          <t>Mature</t>
        </is>
      </c>
      <c r="I3" s="2" t="inlineStr">
        <is>
          <t>Mature logic and memory-friendly process.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5" customWidth="1" min="5" max="5"/>
    <col width="15" customWidth="1" min="6" max="6"/>
    <col width="17" customWidth="1" min="7" max="7"/>
    <col width="32" customWidth="1" min="8" max="8"/>
    <col width="33" customWidth="1" min="9" max="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name</t>
        </is>
      </c>
      <c r="E1" s="1" t="inlineStr">
        <is>
          <t>instance_type</t>
        </is>
      </c>
      <c r="F1" s="1" t="inlineStr">
        <is>
          <t>resource_type</t>
        </is>
      </c>
      <c r="G1" s="1" t="inlineStr">
        <is>
          <t>function_domain</t>
        </is>
      </c>
      <c r="H1" s="1" t="inlineStr">
        <is>
          <t>hierarchy_path</t>
        </is>
      </c>
      <c r="I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>
        <is>
          <t>SOC_TOP</t>
        </is>
      </c>
      <c r="E2" s="2" t="inlineStr">
        <is>
          <t>top</t>
        </is>
      </c>
      <c r="F2" s="2" t="inlineStr">
        <is>
          <t>mixed</t>
        </is>
      </c>
      <c r="G2" s="2" t="inlineStr">
        <is>
          <t>SoC</t>
        </is>
      </c>
      <c r="H2" s="2" t="inlineStr">
        <is>
          <t>SOC_TOP</t>
        </is>
      </c>
      <c r="I2" s="2" t="inlineStr">
        <is>
          <t>tier=Split; confidence=approved</t>
        </is>
      </c>
    </row>
    <row r="3">
      <c r="A3" s="2" t="inlineStr">
        <is>
          <t>B1</t>
        </is>
      </c>
      <c r="B3" s="2" t="inlineStr">
        <is>
          <t>P001</t>
        </is>
      </c>
      <c r="C3" s="2" t="inlineStr">
        <is>
          <t>B0</t>
        </is>
      </c>
      <c r="D3" s="2" t="inlineStr">
        <is>
          <t>CPU_CLUSTER</t>
        </is>
      </c>
      <c r="E3" s="2" t="inlineStr">
        <is>
          <t>subsystem</t>
        </is>
      </c>
      <c r="F3" s="2" t="inlineStr">
        <is>
          <t>logic</t>
        </is>
      </c>
      <c r="G3" s="2" t="inlineStr">
        <is>
          <t>Compute</t>
        </is>
      </c>
      <c r="H3" s="2" t="inlineStr">
        <is>
          <t>SOC_TOP/CPU_CLUSTER</t>
        </is>
      </c>
      <c r="I3" s="2" t="inlineStr">
        <is>
          <t>tier=T0; confidence=review</t>
        </is>
      </c>
    </row>
    <row r="4">
      <c r="A4" s="2" t="inlineStr">
        <is>
          <t>B2</t>
        </is>
      </c>
      <c r="B4" s="2" t="inlineStr">
        <is>
          <t>P001</t>
        </is>
      </c>
      <c r="C4" s="2" t="inlineStr">
        <is>
          <t>B0</t>
        </is>
      </c>
      <c r="D4" s="2" t="inlineStr">
        <is>
          <t>GPU_TOP</t>
        </is>
      </c>
      <c r="E4" s="2" t="inlineStr">
        <is>
          <t>subsystem</t>
        </is>
      </c>
      <c r="F4" s="2" t="inlineStr">
        <is>
          <t>logic</t>
        </is>
      </c>
      <c r="G4" s="2" t="inlineStr">
        <is>
          <t>Graphics</t>
        </is>
      </c>
      <c r="H4" s="2" t="inlineStr">
        <is>
          <t>SOC_TOP/GPU_TOP</t>
        </is>
      </c>
      <c r="I4" s="2" t="inlineStr">
        <is>
          <t>tier=T0/T1; confidence=review</t>
        </is>
      </c>
    </row>
    <row r="5">
      <c r="A5" s="2" t="inlineStr">
        <is>
          <t>B3</t>
        </is>
      </c>
      <c r="B5" s="2" t="inlineStr">
        <is>
          <t>P001</t>
        </is>
      </c>
      <c r="C5" s="2" t="inlineStr">
        <is>
          <t>B0</t>
        </is>
      </c>
      <c r="D5" s="2" t="inlineStr">
        <is>
          <t>NPU_TOP</t>
        </is>
      </c>
      <c r="E5" s="2" t="inlineStr">
        <is>
          <t>subsystem</t>
        </is>
      </c>
      <c r="F5" s="2" t="inlineStr">
        <is>
          <t>logic+memory</t>
        </is>
      </c>
      <c r="G5" s="2" t="inlineStr">
        <is>
          <t>AI</t>
        </is>
      </c>
      <c r="H5" s="2" t="inlineStr">
        <is>
          <t>SOC_TOP/NPU_TOP</t>
        </is>
      </c>
      <c r="I5" s="2" t="inlineStr">
        <is>
          <t>tier=T0/T1; confidence=draft</t>
        </is>
      </c>
    </row>
    <row r="6">
      <c r="A6" s="2" t="inlineStr">
        <is>
          <t>B4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ISP_TOP</t>
        </is>
      </c>
      <c r="E6" s="2" t="inlineStr">
        <is>
          <t>subsystem</t>
        </is>
      </c>
      <c r="F6" s="2" t="inlineStr">
        <is>
          <t>logic</t>
        </is>
      </c>
      <c r="G6" s="2" t="inlineStr">
        <is>
          <t>Camera</t>
        </is>
      </c>
      <c r="H6" s="2" t="inlineStr">
        <is>
          <t>SOC_TOP/ISP_TOP</t>
        </is>
      </c>
      <c r="I6" s="2" t="inlineStr">
        <is>
          <t>tier=T1; confidence=approved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DDR_PHY</t>
        </is>
      </c>
      <c r="E7" s="2" t="inlineStr">
        <is>
          <t>phy</t>
        </is>
      </c>
      <c r="F7" s="2" t="inlineStr">
        <is>
          <t>phy_analog</t>
        </is>
      </c>
      <c r="G7" s="2" t="inlineStr">
        <is>
          <t>Memory IO</t>
        </is>
      </c>
      <c r="H7" s="2" t="inlineStr">
        <is>
          <t>SOC_TOP/DDR_PHY</t>
        </is>
      </c>
      <c r="I7" s="2" t="inlineStr">
        <is>
          <t>tier=T2; confidence=approved</t>
        </is>
      </c>
    </row>
    <row r="8">
      <c r="A8" s="2" t="inlineStr">
        <is>
          <t>B6</t>
        </is>
      </c>
      <c r="B8" s="2" t="inlineStr">
        <is>
          <t>P001</t>
        </is>
      </c>
      <c r="C8" s="2" t="inlineStr">
        <is>
          <t>B0</t>
        </is>
      </c>
      <c r="D8" s="2" t="inlineStr">
        <is>
          <t>PCIE_USB_PHY</t>
        </is>
      </c>
      <c r="E8" s="2" t="inlineStr">
        <is>
          <t>phy</t>
        </is>
      </c>
      <c r="F8" s="2" t="inlineStr">
        <is>
          <t>phy_analog</t>
        </is>
      </c>
      <c r="G8" s="2" t="inlineStr">
        <is>
          <t>External IO</t>
        </is>
      </c>
      <c r="H8" s="2" t="inlineStr">
        <is>
          <t>SOC_TOP/PCIE_USB_PHY</t>
        </is>
      </c>
      <c r="I8" s="2" t="inlineStr">
        <is>
          <t>tier=T2; confidence=approved</t>
        </is>
      </c>
    </row>
    <row r="9">
      <c r="A9" s="2" t="inlineStr">
        <is>
          <t>B7</t>
        </is>
      </c>
      <c r="B9" s="2" t="inlineStr">
        <is>
          <t>P001</t>
        </is>
      </c>
      <c r="C9" s="2" t="inlineStr">
        <is>
          <t>B1</t>
        </is>
      </c>
      <c r="D9" s="2" t="inlineStr">
        <is>
          <t>CPU_CORE_0</t>
        </is>
      </c>
      <c r="E9" s="2" t="inlineStr">
        <is>
          <t>block</t>
        </is>
      </c>
      <c r="F9" s="2" t="inlineStr">
        <is>
          <t>logic</t>
        </is>
      </c>
      <c r="G9" s="2" t="inlineStr">
        <is>
          <t>CPU</t>
        </is>
      </c>
      <c r="H9" s="2" t="inlineStr">
        <is>
          <t>SOC_TOP/CPU_CLUSTER/CPU_CORE_0</t>
        </is>
      </c>
      <c r="I9" s="2" t="inlineStr">
        <is>
          <t>tier=T0; confidence=review</t>
        </is>
      </c>
    </row>
    <row r="10">
      <c r="A10" s="2" t="inlineStr">
        <is>
          <t>B8</t>
        </is>
      </c>
      <c r="B10" s="2" t="inlineStr">
        <is>
          <t>P001</t>
        </is>
      </c>
      <c r="C10" s="2" t="inlineStr">
        <is>
          <t>B3</t>
        </is>
      </c>
      <c r="D10" s="2" t="inlineStr">
        <is>
          <t>NPU_SRAM_BANKS</t>
        </is>
      </c>
      <c r="E10" s="2" t="inlineStr">
        <is>
          <t>macro_group</t>
        </is>
      </c>
      <c r="F10" s="2" t="inlineStr">
        <is>
          <t>memory</t>
        </is>
      </c>
      <c r="G10" s="2" t="inlineStr">
        <is>
          <t>AI Memory</t>
        </is>
      </c>
      <c r="H10" s="2" t="inlineStr">
        <is>
          <t>SOC_TOP/NPU_TOP/NPU_SRAM_BANKS</t>
        </is>
      </c>
      <c r="I10" s="2" t="inlineStr">
        <is>
          <t>tier=T1; confidence=draft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4" customWidth="1" min="8" max="8"/>
    <col width="16" customWidth="1" min="9" max="9"/>
    <col width="41" customWidth="1" min="10" max="10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thickness_um</t>
        </is>
      </c>
      <c r="I1" s="1" t="inlineStr">
        <is>
          <t>area_limit_mm2</t>
        </is>
      </c>
      <c r="J1" s="1" t="inlineStr">
        <is>
          <t>description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45</v>
      </c>
      <c r="I2" s="2" t="n">
        <v>28.2</v>
      </c>
      <c r="J2" s="2" t="inlineStr">
        <is>
          <t>HB &lt; 1um; utilization 72%; power 7.6 W</t>
        </is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50</v>
      </c>
      <c r="I3" s="2" t="n">
        <v>31.4</v>
      </c>
      <c r="J3" s="2" t="inlineStr">
        <is>
          <t>HB + TSV; utilization 66%; power 4.8 W</t>
        </is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60</v>
      </c>
      <c r="I4" s="2" t="n">
        <v>15</v>
      </c>
      <c r="J4" s="2" t="inlineStr">
        <is>
          <t>TSV &lt; 5um; utilization 58%; power 2.8 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4" customWidth="1" min="5" max="5"/>
    <col width="42" customWidth="1" min="6" max="6"/>
    <col width="42" customWidth="1" min="7" max="7"/>
    <col width="12" customWidth="1" min="8" max="8"/>
    <col width="4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instance_id</t>
        </is>
      </c>
      <c r="D1" s="1" t="inlineStr">
        <is>
          <t>metric_name</t>
        </is>
      </c>
      <c r="E1" s="1" t="inlineStr">
        <is>
          <t>metric_value</t>
        </is>
      </c>
      <c r="F1" s="1" t="inlineStr">
        <is>
          <t>metric_unit</t>
        </is>
      </c>
      <c r="G1" s="1" t="inlineStr">
        <is>
          <t>metric_category</t>
        </is>
      </c>
      <c r="H1" s="1" t="inlineStr">
        <is>
          <t>corner</t>
        </is>
      </c>
      <c r="I1" s="1" t="inlineStr">
        <is>
          <t>workload</t>
        </is>
      </c>
      <c r="J1" s="1" t="inlineStr">
        <is>
          <t>confidence</t>
        </is>
      </c>
      <c r="K1" s="1" t="inlineStr">
        <is>
          <t>created_at</t>
        </is>
      </c>
    </row>
    <row r="2">
      <c r="A2" s="2">
        <f>IF(OR(B2="",C2="",D2="",H2="",I2=""),"",B2&amp;"-"&amp;C2&amp;"-"&amp;D2&amp;"-"&amp;H2&amp;"-"&amp;I2)</f>
        <v/>
      </c>
      <c r="B2" s="2" t="inlineStr">
        <is>
          <t>S2</t>
        </is>
      </c>
      <c r="C2" s="2" t="inlineStr">
        <is>
          <t>B0</t>
        </is>
      </c>
      <c r="D2" s="2" t="inlineStr">
        <is>
          <t>logicMTr</t>
        </is>
      </c>
      <c r="E2" s="2" t="n">
        <v>0</v>
      </c>
      <c r="F2" s="2">
        <f>IFERROR(VLOOKUP(D2,metric_dictionary!$A$2:$D$200,2,FALSE),"MTr")</f>
        <v/>
      </c>
      <c r="G2" s="2">
        <f>IFERROR(VLOOKUP(D2,metric_dictionary!$A$2:$D$200,3,FALSE),"scale")</f>
        <v/>
      </c>
      <c r="H2" s="2" t="inlineStr">
        <is>
          <t>typical</t>
        </is>
      </c>
      <c r="I2" s="2">
        <f>IFERROR(VLOOKUP(D2,metric_dictionary!$A$2:$D$200,4,FALSE),"nominal")</f>
        <v/>
      </c>
      <c r="J2" s="2" t="inlineStr">
        <is>
          <t>approved</t>
        </is>
      </c>
      <c r="K2" s="2" t="inlineStr">
        <is>
          <t>2026-05-27</t>
        </is>
      </c>
    </row>
    <row r="3">
      <c r="A3" s="2">
        <f>IF(OR(B3="",C3="",D3="",H3="",I3=""),"",B3&amp;"-"&amp;C3&amp;"-"&amp;D3&amp;"-"&amp;H3&amp;"-"&amp;I3)</f>
        <v/>
      </c>
      <c r="B3" s="2" t="inlineStr">
        <is>
          <t>S2</t>
        </is>
      </c>
      <c r="C3" s="2" t="inlineStr">
        <is>
          <t>B0</t>
        </is>
      </c>
      <c r="D3" s="2" t="inlineStr">
        <is>
          <t>memoryMb</t>
        </is>
      </c>
      <c r="E3" s="2" t="n">
        <v>0</v>
      </c>
      <c r="F3" s="2">
        <f>IFERROR(VLOOKUP(D3,metric_dictionary!$A$2:$D$200,2,FALSE),"Mb")</f>
        <v/>
      </c>
      <c r="G3" s="2">
        <f>IFERROR(VLOOKUP(D3,metric_dictionary!$A$2:$D$200,3,FALSE),"memory")</f>
        <v/>
      </c>
      <c r="H3" s="2" t="inlineStr">
        <is>
          <t>typical</t>
        </is>
      </c>
      <c r="I3" s="2">
        <f>IFERROR(VLOOKUP(D3,metric_dictionary!$A$2:$D$200,4,FALSE),"nominal")</f>
        <v/>
      </c>
      <c r="J3" s="2" t="inlineStr">
        <is>
          <t>approved</t>
        </is>
      </c>
      <c r="K3" s="2" t="inlineStr">
        <is>
          <t>2026-05-27</t>
        </is>
      </c>
    </row>
    <row r="4">
      <c r="A4" s="2">
        <f>IF(OR(B4="",C4="",D4="",H4="",I4=""),"",B4&amp;"-"&amp;C4&amp;"-"&amp;D4&amp;"-"&amp;H4&amp;"-"&amp;I4)</f>
        <v/>
      </c>
      <c r="B4" s="2" t="inlineStr">
        <is>
          <t>S2</t>
        </is>
      </c>
      <c r="C4" s="2" t="inlineStr">
        <is>
          <t>B0</t>
        </is>
      </c>
      <c r="D4" s="2" t="inlineStr">
        <is>
          <t>area</t>
        </is>
      </c>
      <c r="E4" s="2" t="n">
        <v>74.59999999999999</v>
      </c>
      <c r="F4" s="2">
        <f>IFERROR(VLOOKUP(D4,metric_dictionary!$A$2:$D$200,2,FALSE),"mm2")</f>
        <v/>
      </c>
      <c r="G4" s="2">
        <f>IFERROR(VLOOKUP(D4,metric_dictionary!$A$2:$D$200,3,FALSE),"physical")</f>
        <v/>
      </c>
      <c r="H4" s="2" t="inlineStr">
        <is>
          <t>typical</t>
        </is>
      </c>
      <c r="I4" s="2">
        <f>IFERROR(VLOOKUP(D4,metric_dictionary!$A$2:$D$200,4,FALSE),"nominal")</f>
        <v/>
      </c>
      <c r="J4" s="2" t="inlineStr">
        <is>
          <t>approved</t>
        </is>
      </c>
      <c r="K4" s="2" t="inlineStr">
        <is>
          <t>2026-05-27</t>
        </is>
      </c>
    </row>
    <row r="5">
      <c r="A5" s="2">
        <f>IF(OR(B5="",C5="",D5="",H5="",I5=""),"",B5&amp;"-"&amp;C5&amp;"-"&amp;D5&amp;"-"&amp;H5&amp;"-"&amp;I5)</f>
        <v/>
      </c>
      <c r="B5" s="2" t="inlineStr">
        <is>
          <t>S2</t>
        </is>
      </c>
      <c r="C5" s="2" t="inlineStr">
        <is>
          <t>B0</t>
        </is>
      </c>
      <c r="D5" s="2" t="inlineStr">
        <is>
          <t>power</t>
        </is>
      </c>
      <c r="E5" s="2" t="n">
        <v>15.2</v>
      </c>
      <c r="F5" s="2">
        <f>IFERROR(VLOOKUP(D5,metric_dictionary!$A$2:$D$200,2,FALSE),"W")</f>
        <v/>
      </c>
      <c r="G5" s="2">
        <f>IFERROR(VLOOKUP(D5,metric_dictionary!$A$2:$D$200,3,FALSE),"power")</f>
        <v/>
      </c>
      <c r="H5" s="2" t="inlineStr">
        <is>
          <t>typical</t>
        </is>
      </c>
      <c r="I5" s="2">
        <f>IFERROR(VLOOKUP(D5,metric_dictionary!$A$2:$D$200,4,FALSE),"peak")</f>
        <v/>
      </c>
      <c r="J5" s="2" t="inlineStr">
        <is>
          <t>approved</t>
        </is>
      </c>
      <c r="K5" s="2" t="inlineStr">
        <is>
          <t>2026-05-27</t>
        </is>
      </c>
    </row>
    <row r="6">
      <c r="A6" s="2">
        <f>IF(OR(B6="",C6="",D6="",H6="",I6=""),"",B6&amp;"-"&amp;C6&amp;"-"&amp;D6&amp;"-"&amp;H6&amp;"-"&amp;I6)</f>
        <v/>
      </c>
      <c r="B6" s="2" t="inlineStr">
        <is>
          <t>S2</t>
        </is>
      </c>
      <c r="C6" s="2" t="inlineStr">
        <is>
          <t>B1</t>
        </is>
      </c>
      <c r="D6" s="2" t="inlineStr">
        <is>
          <t>logicMTr</t>
        </is>
      </c>
      <c r="E6" s="2" t="n">
        <v>1850</v>
      </c>
      <c r="F6" s="2">
        <f>IFERROR(VLOOKUP(D6,metric_dictionary!$A$2:$D$200,2,FALSE),"MTr")</f>
        <v/>
      </c>
      <c r="G6" s="2">
        <f>IFERROR(VLOOKUP(D6,metric_dictionary!$A$2:$D$200,3,FALSE),"scale")</f>
        <v/>
      </c>
      <c r="H6" s="2" t="inlineStr">
        <is>
          <t>typical</t>
        </is>
      </c>
      <c r="I6" s="2">
        <f>IFERROR(VLOOKUP(D6,metric_dictionary!$A$2:$D$200,4,FALSE),"nominal")</f>
        <v/>
      </c>
      <c r="J6" s="2" t="inlineStr">
        <is>
          <t>review</t>
        </is>
      </c>
      <c r="K6" s="2" t="inlineStr">
        <is>
          <t>2026-05-27</t>
        </is>
      </c>
    </row>
    <row r="7">
      <c r="A7" s="2">
        <f>IF(OR(B7="",C7="",D7="",H7="",I7=""),"",B7&amp;"-"&amp;C7&amp;"-"&amp;D7&amp;"-"&amp;H7&amp;"-"&amp;I7)</f>
        <v/>
      </c>
      <c r="B7" s="2" t="inlineStr">
        <is>
          <t>S2</t>
        </is>
      </c>
      <c r="C7" s="2" t="inlineStr">
        <is>
          <t>B1</t>
        </is>
      </c>
      <c r="D7" s="2" t="inlineStr">
        <is>
          <t>memoryMb</t>
        </is>
      </c>
      <c r="E7" s="2" t="n">
        <v>24</v>
      </c>
      <c r="F7" s="2">
        <f>IFERROR(VLOOKUP(D7,metric_dictionary!$A$2:$D$200,2,FALSE),"Mb")</f>
        <v/>
      </c>
      <c r="G7" s="2">
        <f>IFERROR(VLOOKUP(D7,metric_dictionary!$A$2:$D$200,3,FALSE),"memory")</f>
        <v/>
      </c>
      <c r="H7" s="2" t="inlineStr">
        <is>
          <t>typical</t>
        </is>
      </c>
      <c r="I7" s="2">
        <f>IFERROR(VLOOKUP(D7,metric_dictionary!$A$2:$D$200,4,FALSE),"nominal")</f>
        <v/>
      </c>
      <c r="J7" s="2" t="inlineStr">
        <is>
          <t>review</t>
        </is>
      </c>
      <c r="K7" s="2" t="inlineStr">
        <is>
          <t>2026-05-27</t>
        </is>
      </c>
    </row>
    <row r="8">
      <c r="A8" s="2">
        <f>IF(OR(B8="",C8="",D8="",H8="",I8=""),"",B8&amp;"-"&amp;C8&amp;"-"&amp;D8&amp;"-"&amp;H8&amp;"-"&amp;I8)</f>
        <v/>
      </c>
      <c r="B8" s="2" t="inlineStr">
        <is>
          <t>S2</t>
        </is>
      </c>
      <c r="C8" s="2" t="inlineStr">
        <is>
          <t>B1</t>
        </is>
      </c>
      <c r="D8" s="2" t="inlineStr">
        <is>
          <t>area</t>
        </is>
      </c>
      <c r="E8" s="2" t="n">
        <v>12.8</v>
      </c>
      <c r="F8" s="2">
        <f>IFERROR(VLOOKUP(D8,metric_dictionary!$A$2:$D$200,2,FALSE),"mm2")</f>
        <v/>
      </c>
      <c r="G8" s="2">
        <f>IFERROR(VLOOKUP(D8,metric_dictionary!$A$2:$D$200,3,FALSE),"physical")</f>
        <v/>
      </c>
      <c r="H8" s="2" t="inlineStr">
        <is>
          <t>typical</t>
        </is>
      </c>
      <c r="I8" s="2">
        <f>IFERROR(VLOOKUP(D8,metric_dictionary!$A$2:$D$200,4,FALSE),"nominal")</f>
        <v/>
      </c>
      <c r="J8" s="2" t="inlineStr">
        <is>
          <t>review</t>
        </is>
      </c>
      <c r="K8" s="2" t="inlineStr">
        <is>
          <t>2026-05-27</t>
        </is>
      </c>
    </row>
    <row r="9">
      <c r="A9" s="2">
        <f>IF(OR(B9="",C9="",D9="",H9="",I9=""),"",B9&amp;"-"&amp;C9&amp;"-"&amp;D9&amp;"-"&amp;H9&amp;"-"&amp;I9)</f>
        <v/>
      </c>
      <c r="B9" s="2" t="inlineStr">
        <is>
          <t>S2</t>
        </is>
      </c>
      <c r="C9" s="2" t="inlineStr">
        <is>
          <t>B1</t>
        </is>
      </c>
      <c r="D9" s="2" t="inlineStr">
        <is>
          <t>power</t>
        </is>
      </c>
      <c r="E9" s="2" t="n">
        <v>4.1</v>
      </c>
      <c r="F9" s="2">
        <f>IFERROR(VLOOKUP(D9,metric_dictionary!$A$2:$D$200,2,FALSE),"W")</f>
        <v/>
      </c>
      <c r="G9" s="2">
        <f>IFERROR(VLOOKUP(D9,metric_dictionary!$A$2:$D$200,3,FALSE),"power")</f>
        <v/>
      </c>
      <c r="H9" s="2" t="inlineStr">
        <is>
          <t>typical</t>
        </is>
      </c>
      <c r="I9" s="2">
        <f>IFERROR(VLOOKUP(D9,metric_dictionary!$A$2:$D$200,4,FALSE),"peak")</f>
        <v/>
      </c>
      <c r="J9" s="2" t="inlineStr">
        <is>
          <t>review</t>
        </is>
      </c>
      <c r="K9" s="2" t="inlineStr">
        <is>
          <t>2026-05-27</t>
        </is>
      </c>
    </row>
    <row r="10">
      <c r="A10" s="2">
        <f>IF(OR(B10="",C10="",D10="",H10="",I10=""),"",B10&amp;"-"&amp;C10&amp;"-"&amp;D10&amp;"-"&amp;H10&amp;"-"&amp;I10)</f>
        <v/>
      </c>
      <c r="B10" s="2" t="inlineStr">
        <is>
          <t>S2</t>
        </is>
      </c>
      <c r="C10" s="2" t="inlineStr">
        <is>
          <t>B2</t>
        </is>
      </c>
      <c r="D10" s="2" t="inlineStr">
        <is>
          <t>logicMTr</t>
        </is>
      </c>
      <c r="E10" s="2" t="n">
        <v>3100</v>
      </c>
      <c r="F10" s="2">
        <f>IFERROR(VLOOKUP(D10,metric_dictionary!$A$2:$D$200,2,FALSE),"MTr")</f>
        <v/>
      </c>
      <c r="G10" s="2">
        <f>IFERROR(VLOOKUP(D10,metric_dictionary!$A$2:$D$200,3,FALSE),"scale")</f>
        <v/>
      </c>
      <c r="H10" s="2" t="inlineStr">
        <is>
          <t>typical</t>
        </is>
      </c>
      <c r="I10" s="2">
        <f>IFERROR(VLOOKUP(D10,metric_dictionary!$A$2:$D$200,4,FALSE),"nominal")</f>
        <v/>
      </c>
      <c r="J10" s="2" t="inlineStr">
        <is>
          <t>review</t>
        </is>
      </c>
      <c r="K10" s="2" t="inlineStr">
        <is>
          <t>2026-05-27</t>
        </is>
      </c>
    </row>
    <row r="11">
      <c r="A11" s="2">
        <f>IF(OR(B11="",C11="",D11="",H11="",I11=""),"",B11&amp;"-"&amp;C11&amp;"-"&amp;D11&amp;"-"&amp;H11&amp;"-"&amp;I11)</f>
        <v/>
      </c>
      <c r="B11" s="2" t="inlineStr">
        <is>
          <t>S2</t>
        </is>
      </c>
      <c r="C11" s="2" t="inlineStr">
        <is>
          <t>B2</t>
        </is>
      </c>
      <c r="D11" s="2" t="inlineStr">
        <is>
          <t>memoryMb</t>
        </is>
      </c>
      <c r="E11" s="2" t="n">
        <v>18</v>
      </c>
      <c r="F11" s="2">
        <f>IFERROR(VLOOKUP(D11,metric_dictionary!$A$2:$D$200,2,FALSE),"Mb")</f>
        <v/>
      </c>
      <c r="G11" s="2">
        <f>IFERROR(VLOOKUP(D11,metric_dictionary!$A$2:$D$200,3,FALSE),"memory")</f>
        <v/>
      </c>
      <c r="H11" s="2" t="inlineStr">
        <is>
          <t>typical</t>
        </is>
      </c>
      <c r="I11" s="2">
        <f>IFERROR(VLOOKUP(D11,metric_dictionary!$A$2:$D$200,4,FALSE),"nominal")</f>
        <v/>
      </c>
      <c r="J11" s="2" t="inlineStr">
        <is>
          <t>review</t>
        </is>
      </c>
      <c r="K11" s="2" t="inlineStr">
        <is>
          <t>2026-05-27</t>
        </is>
      </c>
    </row>
    <row r="12">
      <c r="A12" s="2">
        <f>IF(OR(B12="",C12="",D12="",H12="",I12=""),"",B12&amp;"-"&amp;C12&amp;"-"&amp;D12&amp;"-"&amp;H12&amp;"-"&amp;I12)</f>
        <v/>
      </c>
      <c r="B12" s="2" t="inlineStr">
        <is>
          <t>S2</t>
        </is>
      </c>
      <c r="C12" s="2" t="inlineStr">
        <is>
          <t>B2</t>
        </is>
      </c>
      <c r="D12" s="2" t="inlineStr">
        <is>
          <t>area</t>
        </is>
      </c>
      <c r="E12" s="2" t="n">
        <v>18.7</v>
      </c>
      <c r="F12" s="2">
        <f>IFERROR(VLOOKUP(D12,metric_dictionary!$A$2:$D$200,2,FALSE),"mm2")</f>
        <v/>
      </c>
      <c r="G12" s="2">
        <f>IFERROR(VLOOKUP(D12,metric_dictionary!$A$2:$D$200,3,FALSE),"physical")</f>
        <v/>
      </c>
      <c r="H12" s="2" t="inlineStr">
        <is>
          <t>typical</t>
        </is>
      </c>
      <c r="I12" s="2">
        <f>IFERROR(VLOOKUP(D12,metric_dictionary!$A$2:$D$200,4,FALSE),"nominal")</f>
        <v/>
      </c>
      <c r="J12" s="2" t="inlineStr">
        <is>
          <t>review</t>
        </is>
      </c>
      <c r="K12" s="2" t="inlineStr">
        <is>
          <t>2026-05-27</t>
        </is>
      </c>
    </row>
    <row r="13">
      <c r="A13" s="2">
        <f>IF(OR(B13="",C13="",D13="",H13="",I13=""),"",B13&amp;"-"&amp;C13&amp;"-"&amp;D13&amp;"-"&amp;H13&amp;"-"&amp;I13)</f>
        <v/>
      </c>
      <c r="B13" s="2" t="inlineStr">
        <is>
          <t>S2</t>
        </is>
      </c>
      <c r="C13" s="2" t="inlineStr">
        <is>
          <t>B2</t>
        </is>
      </c>
      <c r="D13" s="2" t="inlineStr">
        <is>
          <t>power</t>
        </is>
      </c>
      <c r="E13" s="2" t="n">
        <v>5.5</v>
      </c>
      <c r="F13" s="2">
        <f>IFERROR(VLOOKUP(D13,metric_dictionary!$A$2:$D$200,2,FALSE),"W")</f>
        <v/>
      </c>
      <c r="G13" s="2">
        <f>IFERROR(VLOOKUP(D13,metric_dictionary!$A$2:$D$200,3,FALSE),"power")</f>
        <v/>
      </c>
      <c r="H13" s="2" t="inlineStr">
        <is>
          <t>typical</t>
        </is>
      </c>
      <c r="I13" s="2">
        <f>IFERROR(VLOOKUP(D13,metric_dictionary!$A$2:$D$200,4,FALSE),"peak")</f>
        <v/>
      </c>
      <c r="J13" s="2" t="inlineStr">
        <is>
          <t>review</t>
        </is>
      </c>
      <c r="K13" s="2" t="inlineStr">
        <is>
          <t>2026-05-27</t>
        </is>
      </c>
    </row>
    <row r="14">
      <c r="A14" s="2">
        <f>IF(OR(B14="",C14="",D14="",H14="",I14=""),"",B14&amp;"-"&amp;C14&amp;"-"&amp;D14&amp;"-"&amp;H14&amp;"-"&amp;I14)</f>
        <v/>
      </c>
      <c r="B14" s="2" t="inlineStr">
        <is>
          <t>S2</t>
        </is>
      </c>
      <c r="C14" s="2" t="inlineStr">
        <is>
          <t>B3</t>
        </is>
      </c>
      <c r="D14" s="2" t="inlineStr">
        <is>
          <t>logicMTr</t>
        </is>
      </c>
      <c r="E14" s="2" t="n">
        <v>2400</v>
      </c>
      <c r="F14" s="2">
        <f>IFERROR(VLOOKUP(D14,metric_dictionary!$A$2:$D$200,2,FALSE),"MTr")</f>
        <v/>
      </c>
      <c r="G14" s="2">
        <f>IFERROR(VLOOKUP(D14,metric_dictionary!$A$2:$D$200,3,FALSE),"scale")</f>
        <v/>
      </c>
      <c r="H14" s="2" t="inlineStr">
        <is>
          <t>typical</t>
        </is>
      </c>
      <c r="I14" s="2">
        <f>IFERROR(VLOOKUP(D14,metric_dictionary!$A$2:$D$200,4,FALSE),"nominal")</f>
        <v/>
      </c>
      <c r="J14" s="2" t="inlineStr">
        <is>
          <t>review</t>
        </is>
      </c>
      <c r="K14" s="2" t="inlineStr">
        <is>
          <t>2026-05-27</t>
        </is>
      </c>
    </row>
    <row r="15">
      <c r="A15" s="2">
        <f>IF(OR(B15="",C15="",D15="",H15="",I15=""),"",B15&amp;"-"&amp;C15&amp;"-"&amp;D15&amp;"-"&amp;H15&amp;"-"&amp;I15)</f>
        <v/>
      </c>
      <c r="B15" s="2" t="inlineStr">
        <is>
          <t>S2</t>
        </is>
      </c>
      <c r="C15" s="2" t="inlineStr">
        <is>
          <t>B3</t>
        </is>
      </c>
      <c r="D15" s="2" t="inlineStr">
        <is>
          <t>memoryMb</t>
        </is>
      </c>
      <c r="E15" s="2" t="n">
        <v>64</v>
      </c>
      <c r="F15" s="2">
        <f>IFERROR(VLOOKUP(D15,metric_dictionary!$A$2:$D$200,2,FALSE),"Mb")</f>
        <v/>
      </c>
      <c r="G15" s="2">
        <f>IFERROR(VLOOKUP(D15,metric_dictionary!$A$2:$D$200,3,FALSE),"memory")</f>
        <v/>
      </c>
      <c r="H15" s="2" t="inlineStr">
        <is>
          <t>typical</t>
        </is>
      </c>
      <c r="I15" s="2">
        <f>IFERROR(VLOOKUP(D15,metric_dictionary!$A$2:$D$200,4,FALSE),"nominal")</f>
        <v/>
      </c>
      <c r="J15" s="2" t="inlineStr">
        <is>
          <t>review</t>
        </is>
      </c>
      <c r="K15" s="2" t="inlineStr">
        <is>
          <t>2026-05-27</t>
        </is>
      </c>
    </row>
    <row r="16">
      <c r="A16" s="2">
        <f>IF(OR(B16="",C16="",D16="",H16="",I16=""),"",B16&amp;"-"&amp;C16&amp;"-"&amp;D16&amp;"-"&amp;H16&amp;"-"&amp;I16)</f>
        <v/>
      </c>
      <c r="B16" s="2" t="inlineStr">
        <is>
          <t>S2</t>
        </is>
      </c>
      <c r="C16" s="2" t="inlineStr">
        <is>
          <t>B3</t>
        </is>
      </c>
      <c r="D16" s="2" t="inlineStr">
        <is>
          <t>area</t>
        </is>
      </c>
      <c r="E16" s="2" t="n">
        <v>21.2</v>
      </c>
      <c r="F16" s="2">
        <f>IFERROR(VLOOKUP(D16,metric_dictionary!$A$2:$D$200,2,FALSE),"mm2")</f>
        <v/>
      </c>
      <c r="G16" s="2">
        <f>IFERROR(VLOOKUP(D16,metric_dictionary!$A$2:$D$200,3,FALSE),"physical")</f>
        <v/>
      </c>
      <c r="H16" s="2" t="inlineStr">
        <is>
          <t>typical</t>
        </is>
      </c>
      <c r="I16" s="2">
        <f>IFERROR(VLOOKUP(D16,metric_dictionary!$A$2:$D$200,4,FALSE),"nominal")</f>
        <v/>
      </c>
      <c r="J16" s="2" t="inlineStr">
        <is>
          <t>review</t>
        </is>
      </c>
      <c r="K16" s="2" t="inlineStr">
        <is>
          <t>2026-05-27</t>
        </is>
      </c>
    </row>
    <row r="17">
      <c r="A17" s="2">
        <f>IF(OR(B17="",C17="",D17="",H17="",I17=""),"",B17&amp;"-"&amp;C17&amp;"-"&amp;D17&amp;"-"&amp;H17&amp;"-"&amp;I17)</f>
        <v/>
      </c>
      <c r="B17" s="2" t="inlineStr">
        <is>
          <t>S2</t>
        </is>
      </c>
      <c r="C17" s="2" t="inlineStr">
        <is>
          <t>B3</t>
        </is>
      </c>
      <c r="D17" s="2" t="inlineStr">
        <is>
          <t>power</t>
        </is>
      </c>
      <c r="E17" s="2" t="n">
        <v>3.8</v>
      </c>
      <c r="F17" s="2">
        <f>IFERROR(VLOOKUP(D17,metric_dictionary!$A$2:$D$200,2,FALSE),"W")</f>
        <v/>
      </c>
      <c r="G17" s="2">
        <f>IFERROR(VLOOKUP(D17,metric_dictionary!$A$2:$D$200,3,FALSE),"power")</f>
        <v/>
      </c>
      <c r="H17" s="2" t="inlineStr">
        <is>
          <t>typical</t>
        </is>
      </c>
      <c r="I17" s="2">
        <f>IFERROR(VLOOKUP(D17,metric_dictionary!$A$2:$D$200,4,FALSE),"peak")</f>
        <v/>
      </c>
      <c r="J17" s="2" t="inlineStr">
        <is>
          <t>review</t>
        </is>
      </c>
      <c r="K17" s="2" t="inlineStr">
        <is>
          <t>2026-05-27</t>
        </is>
      </c>
    </row>
    <row r="18">
      <c r="A18" s="2">
        <f>IF(OR(B18="",C18="",D18="",H18="",I18=""),"",B18&amp;"-"&amp;C18&amp;"-"&amp;D18&amp;"-"&amp;H18&amp;"-"&amp;I18)</f>
        <v/>
      </c>
      <c r="B18" s="2" t="inlineStr">
        <is>
          <t>S2</t>
        </is>
      </c>
      <c r="C18" s="2" t="inlineStr">
        <is>
          <t>B4</t>
        </is>
      </c>
      <c r="D18" s="2" t="inlineStr">
        <is>
          <t>logicMTr</t>
        </is>
      </c>
      <c r="E18" s="2" t="n">
        <v>980</v>
      </c>
      <c r="F18" s="2">
        <f>IFERROR(VLOOKUP(D18,metric_dictionary!$A$2:$D$200,2,FALSE),"MTr")</f>
        <v/>
      </c>
      <c r="G18" s="2">
        <f>IFERROR(VLOOKUP(D18,metric_dictionary!$A$2:$D$200,3,FALSE),"scale")</f>
        <v/>
      </c>
      <c r="H18" s="2" t="inlineStr">
        <is>
          <t>typical</t>
        </is>
      </c>
      <c r="I18" s="2">
        <f>IFERROR(VLOOKUP(D18,metric_dictionary!$A$2:$D$200,4,FALSE),"nominal")</f>
        <v/>
      </c>
      <c r="J18" s="2" t="inlineStr">
        <is>
          <t>approved</t>
        </is>
      </c>
      <c r="K18" s="2" t="inlineStr">
        <is>
          <t>2026-05-27</t>
        </is>
      </c>
    </row>
    <row r="19">
      <c r="A19" s="2">
        <f>IF(OR(B19="",C19="",D19="",H19="",I19=""),"",B19&amp;"-"&amp;C19&amp;"-"&amp;D19&amp;"-"&amp;H19&amp;"-"&amp;I19)</f>
        <v/>
      </c>
      <c r="B19" s="2" t="inlineStr">
        <is>
          <t>S2</t>
        </is>
      </c>
      <c r="C19" s="2" t="inlineStr">
        <is>
          <t>B4</t>
        </is>
      </c>
      <c r="D19" s="2" t="inlineStr">
        <is>
          <t>memoryMb</t>
        </is>
      </c>
      <c r="E19" s="2" t="n">
        <v>12</v>
      </c>
      <c r="F19" s="2">
        <f>IFERROR(VLOOKUP(D19,metric_dictionary!$A$2:$D$200,2,FALSE),"Mb")</f>
        <v/>
      </c>
      <c r="G19" s="2">
        <f>IFERROR(VLOOKUP(D19,metric_dictionary!$A$2:$D$200,3,FALSE),"memory")</f>
        <v/>
      </c>
      <c r="H19" s="2" t="inlineStr">
        <is>
          <t>typical</t>
        </is>
      </c>
      <c r="I19" s="2">
        <f>IFERROR(VLOOKUP(D19,metric_dictionary!$A$2:$D$200,4,FALSE),"nominal")</f>
        <v/>
      </c>
      <c r="J19" s="2" t="inlineStr">
        <is>
          <t>approved</t>
        </is>
      </c>
      <c r="K19" s="2" t="inlineStr">
        <is>
          <t>2026-05-27</t>
        </is>
      </c>
    </row>
    <row r="20">
      <c r="A20" s="2">
        <f>IF(OR(B20="",C20="",D20="",H20="",I20=""),"",B20&amp;"-"&amp;C20&amp;"-"&amp;D20&amp;"-"&amp;H20&amp;"-"&amp;I20)</f>
        <v/>
      </c>
      <c r="B20" s="2" t="inlineStr">
        <is>
          <t>S2</t>
        </is>
      </c>
      <c r="C20" s="2" t="inlineStr">
        <is>
          <t>B4</t>
        </is>
      </c>
      <c r="D20" s="2" t="inlineStr">
        <is>
          <t>area</t>
        </is>
      </c>
      <c r="E20" s="2" t="n">
        <v>7.4</v>
      </c>
      <c r="F20" s="2">
        <f>IFERROR(VLOOKUP(D20,metric_dictionary!$A$2:$D$200,2,FALSE),"mm2")</f>
        <v/>
      </c>
      <c r="G20" s="2">
        <f>IFERROR(VLOOKUP(D20,metric_dictionary!$A$2:$D$200,3,FALSE),"physical")</f>
        <v/>
      </c>
      <c r="H20" s="2" t="inlineStr">
        <is>
          <t>typical</t>
        </is>
      </c>
      <c r="I20" s="2">
        <f>IFERROR(VLOOKUP(D20,metric_dictionary!$A$2:$D$200,4,FALSE),"nominal")</f>
        <v/>
      </c>
      <c r="J20" s="2" t="inlineStr">
        <is>
          <t>approved</t>
        </is>
      </c>
      <c r="K20" s="2" t="inlineStr">
        <is>
          <t>2026-05-27</t>
        </is>
      </c>
    </row>
    <row r="21">
      <c r="A21" s="2">
        <f>IF(OR(B21="",C21="",D21="",H21="",I21=""),"",B21&amp;"-"&amp;C21&amp;"-"&amp;D21&amp;"-"&amp;H21&amp;"-"&amp;I21)</f>
        <v/>
      </c>
      <c r="B21" s="2" t="inlineStr">
        <is>
          <t>S2</t>
        </is>
      </c>
      <c r="C21" s="2" t="inlineStr">
        <is>
          <t>B4</t>
        </is>
      </c>
      <c r="D21" s="2" t="inlineStr">
        <is>
          <t>power</t>
        </is>
      </c>
      <c r="E21" s="2" t="n">
        <v>1.4</v>
      </c>
      <c r="F21" s="2">
        <f>IFERROR(VLOOKUP(D21,metric_dictionary!$A$2:$D$200,2,FALSE),"W")</f>
        <v/>
      </c>
      <c r="G21" s="2">
        <f>IFERROR(VLOOKUP(D21,metric_dictionary!$A$2:$D$200,3,FALSE),"power")</f>
        <v/>
      </c>
      <c r="H21" s="2" t="inlineStr">
        <is>
          <t>typical</t>
        </is>
      </c>
      <c r="I21" s="2">
        <f>IFERROR(VLOOKUP(D21,metric_dictionary!$A$2:$D$200,4,FALSE),"peak")</f>
        <v/>
      </c>
      <c r="J21" s="2" t="inlineStr">
        <is>
          <t>approved</t>
        </is>
      </c>
      <c r="K21" s="2" t="inlineStr">
        <is>
          <t>2026-05-27</t>
        </is>
      </c>
    </row>
    <row r="22">
      <c r="A22" s="2">
        <f>IF(OR(B22="",C22="",D22="",H22="",I22=""),"",B22&amp;"-"&amp;C22&amp;"-"&amp;D22&amp;"-"&amp;H22&amp;"-"&amp;I22)</f>
        <v/>
      </c>
      <c r="B22" s="2" t="inlineStr">
        <is>
          <t>S2</t>
        </is>
      </c>
      <c r="C22" s="2" t="inlineStr">
        <is>
          <t>B5</t>
        </is>
      </c>
      <c r="D22" s="2" t="inlineStr">
        <is>
          <t>logicMTr</t>
        </is>
      </c>
      <c r="E22" s="2" t="n">
        <v>0</v>
      </c>
      <c r="F22" s="2">
        <f>IFERROR(VLOOKUP(D22,metric_dictionary!$A$2:$D$200,2,FALSE),"MTr")</f>
        <v/>
      </c>
      <c r="G22" s="2">
        <f>IFERROR(VLOOKUP(D22,metric_dictionary!$A$2:$D$200,3,FALSE),"scale")</f>
        <v/>
      </c>
      <c r="H22" s="2" t="inlineStr">
        <is>
          <t>typical</t>
        </is>
      </c>
      <c r="I22" s="2">
        <f>IFERROR(VLOOKUP(D22,metric_dictionary!$A$2:$D$200,4,FALSE),"nominal")</f>
        <v/>
      </c>
      <c r="J22" s="2" t="inlineStr">
        <is>
          <t>approved</t>
        </is>
      </c>
      <c r="K22" s="2" t="inlineStr">
        <is>
          <t>2026-05-27</t>
        </is>
      </c>
    </row>
    <row r="23">
      <c r="A23" s="2">
        <f>IF(OR(B23="",C23="",D23="",H23="",I23=""),"",B23&amp;"-"&amp;C23&amp;"-"&amp;D23&amp;"-"&amp;H23&amp;"-"&amp;I23)</f>
        <v/>
      </c>
      <c r="B23" s="2" t="inlineStr">
        <is>
          <t>S2</t>
        </is>
      </c>
      <c r="C23" s="2" t="inlineStr">
        <is>
          <t>B5</t>
        </is>
      </c>
      <c r="D23" s="2" t="inlineStr">
        <is>
          <t>memoryMb</t>
        </is>
      </c>
      <c r="E23" s="2" t="n">
        <v>0</v>
      </c>
      <c r="F23" s="2">
        <f>IFERROR(VLOOKUP(D23,metric_dictionary!$A$2:$D$200,2,FALSE),"Mb")</f>
        <v/>
      </c>
      <c r="G23" s="2">
        <f>IFERROR(VLOOKUP(D23,metric_dictionary!$A$2:$D$200,3,FALSE),"memory")</f>
        <v/>
      </c>
      <c r="H23" s="2" t="inlineStr">
        <is>
          <t>typical</t>
        </is>
      </c>
      <c r="I23" s="2">
        <f>IFERROR(VLOOKUP(D23,metric_dictionary!$A$2:$D$200,4,FALSE),"nominal")</f>
        <v/>
      </c>
      <c r="J23" s="2" t="inlineStr">
        <is>
          <t>approved</t>
        </is>
      </c>
      <c r="K23" s="2" t="inlineStr">
        <is>
          <t>2026-05-27</t>
        </is>
      </c>
    </row>
    <row r="24">
      <c r="A24" s="2">
        <f>IF(OR(B24="",C24="",D24="",H24="",I24=""),"",B24&amp;"-"&amp;C24&amp;"-"&amp;D24&amp;"-"&amp;H24&amp;"-"&amp;I24)</f>
        <v/>
      </c>
      <c r="B24" s="2" t="inlineStr">
        <is>
          <t>S2</t>
        </is>
      </c>
      <c r="C24" s="2" t="inlineStr">
        <is>
          <t>B5</t>
        </is>
      </c>
      <c r="D24" s="2" t="inlineStr">
        <is>
          <t>area</t>
        </is>
      </c>
      <c r="E24" s="2" t="n">
        <v>4.8</v>
      </c>
      <c r="F24" s="2">
        <f>IFERROR(VLOOKUP(D24,metric_dictionary!$A$2:$D$200,2,FALSE),"mm2")</f>
        <v/>
      </c>
      <c r="G24" s="2">
        <f>IFERROR(VLOOKUP(D24,metric_dictionary!$A$2:$D$200,3,FALSE),"physical")</f>
        <v/>
      </c>
      <c r="H24" s="2" t="inlineStr">
        <is>
          <t>typical</t>
        </is>
      </c>
      <c r="I24" s="2">
        <f>IFERROR(VLOOKUP(D24,metric_dictionary!$A$2:$D$200,4,FALSE),"nominal")</f>
        <v/>
      </c>
      <c r="J24" s="2" t="inlineStr">
        <is>
          <t>approved</t>
        </is>
      </c>
      <c r="K24" s="2" t="inlineStr">
        <is>
          <t>2026-05-27</t>
        </is>
      </c>
    </row>
    <row r="25">
      <c r="A25" s="2">
        <f>IF(OR(B25="",C25="",D25="",H25="",I25=""),"",B25&amp;"-"&amp;C25&amp;"-"&amp;D25&amp;"-"&amp;H25&amp;"-"&amp;I25)</f>
        <v/>
      </c>
      <c r="B25" s="2" t="inlineStr">
        <is>
          <t>S2</t>
        </is>
      </c>
      <c r="C25" s="2" t="inlineStr">
        <is>
          <t>B5</t>
        </is>
      </c>
      <c r="D25" s="2" t="inlineStr">
        <is>
          <t>power</t>
        </is>
      </c>
      <c r="E25" s="2" t="n">
        <v>0.9</v>
      </c>
      <c r="F25" s="2">
        <f>IFERROR(VLOOKUP(D25,metric_dictionary!$A$2:$D$200,2,FALSE),"W")</f>
        <v/>
      </c>
      <c r="G25" s="2">
        <f>IFERROR(VLOOKUP(D25,metric_dictionary!$A$2:$D$200,3,FALSE),"power")</f>
        <v/>
      </c>
      <c r="H25" s="2" t="inlineStr">
        <is>
          <t>typical</t>
        </is>
      </c>
      <c r="I25" s="2">
        <f>IFERROR(VLOOKUP(D25,metric_dictionary!$A$2:$D$200,4,FALSE),"peak")</f>
        <v/>
      </c>
      <c r="J25" s="2" t="inlineStr">
        <is>
          <t>approved</t>
        </is>
      </c>
      <c r="K25" s="2" t="inlineStr">
        <is>
          <t>2026-05-27</t>
        </is>
      </c>
    </row>
    <row r="26">
      <c r="A26" s="2">
        <f>IF(OR(B26="",C26="",D26="",H26="",I26=""),"",B26&amp;"-"&amp;C26&amp;"-"&amp;D26&amp;"-"&amp;H26&amp;"-"&amp;I26)</f>
        <v/>
      </c>
      <c r="B26" s="2" t="inlineStr">
        <is>
          <t>S2</t>
        </is>
      </c>
      <c r="C26" s="2" t="inlineStr">
        <is>
          <t>B6</t>
        </is>
      </c>
      <c r="D26" s="2" t="inlineStr">
        <is>
          <t>logicMTr</t>
        </is>
      </c>
      <c r="E26" s="2" t="n">
        <v>0</v>
      </c>
      <c r="F26" s="2">
        <f>IFERROR(VLOOKUP(D26,metric_dictionary!$A$2:$D$200,2,FALSE),"MTr")</f>
        <v/>
      </c>
      <c r="G26" s="2">
        <f>IFERROR(VLOOKUP(D26,metric_dictionary!$A$2:$D$200,3,FALSE),"scale")</f>
        <v/>
      </c>
      <c r="H26" s="2" t="inlineStr">
        <is>
          <t>typical</t>
        </is>
      </c>
      <c r="I26" s="2">
        <f>IFERROR(VLOOKUP(D26,metric_dictionary!$A$2:$D$200,4,FALSE),"nominal")</f>
        <v/>
      </c>
      <c r="J26" s="2" t="inlineStr">
        <is>
          <t>approved</t>
        </is>
      </c>
      <c r="K26" s="2" t="inlineStr">
        <is>
          <t>2026-05-27</t>
        </is>
      </c>
    </row>
    <row r="27">
      <c r="A27" s="2">
        <f>IF(OR(B27="",C27="",D27="",H27="",I27=""),"",B27&amp;"-"&amp;C27&amp;"-"&amp;D27&amp;"-"&amp;H27&amp;"-"&amp;I27)</f>
        <v/>
      </c>
      <c r="B27" s="2" t="inlineStr">
        <is>
          <t>S2</t>
        </is>
      </c>
      <c r="C27" s="2" t="inlineStr">
        <is>
          <t>B6</t>
        </is>
      </c>
      <c r="D27" s="2" t="inlineStr">
        <is>
          <t>memoryMb</t>
        </is>
      </c>
      <c r="E27" s="2" t="n">
        <v>0</v>
      </c>
      <c r="F27" s="2">
        <f>IFERROR(VLOOKUP(D27,metric_dictionary!$A$2:$D$200,2,FALSE),"Mb")</f>
        <v/>
      </c>
      <c r="G27" s="2">
        <f>IFERROR(VLOOKUP(D27,metric_dictionary!$A$2:$D$200,3,FALSE),"memory")</f>
        <v/>
      </c>
      <c r="H27" s="2" t="inlineStr">
        <is>
          <t>typical</t>
        </is>
      </c>
      <c r="I27" s="2">
        <f>IFERROR(VLOOKUP(D27,metric_dictionary!$A$2:$D$200,4,FALSE),"nominal")</f>
        <v/>
      </c>
      <c r="J27" s="2" t="inlineStr">
        <is>
          <t>approved</t>
        </is>
      </c>
      <c r="K27" s="2" t="inlineStr">
        <is>
          <t>2026-05-27</t>
        </is>
      </c>
    </row>
    <row r="28">
      <c r="A28" s="2">
        <f>IF(OR(B28="",C28="",D28="",H28="",I28=""),"",B28&amp;"-"&amp;C28&amp;"-"&amp;D28&amp;"-"&amp;H28&amp;"-"&amp;I28)</f>
        <v/>
      </c>
      <c r="B28" s="2" t="inlineStr">
        <is>
          <t>S2</t>
        </is>
      </c>
      <c r="C28" s="2" t="inlineStr">
        <is>
          <t>B6</t>
        </is>
      </c>
      <c r="D28" s="2" t="inlineStr">
        <is>
          <t>area</t>
        </is>
      </c>
      <c r="E28" s="2" t="n">
        <v>3.1</v>
      </c>
      <c r="F28" s="2">
        <f>IFERROR(VLOOKUP(D28,metric_dictionary!$A$2:$D$200,2,FALSE),"mm2")</f>
        <v/>
      </c>
      <c r="G28" s="2">
        <f>IFERROR(VLOOKUP(D28,metric_dictionary!$A$2:$D$200,3,FALSE),"physical")</f>
        <v/>
      </c>
      <c r="H28" s="2" t="inlineStr">
        <is>
          <t>typical</t>
        </is>
      </c>
      <c r="I28" s="2">
        <f>IFERROR(VLOOKUP(D28,metric_dictionary!$A$2:$D$200,4,FALSE),"nominal")</f>
        <v/>
      </c>
      <c r="J28" s="2" t="inlineStr">
        <is>
          <t>approved</t>
        </is>
      </c>
      <c r="K28" s="2" t="inlineStr">
        <is>
          <t>2026-05-27</t>
        </is>
      </c>
    </row>
    <row r="29">
      <c r="A29" s="2">
        <f>IF(OR(B29="",C29="",D29="",H29="",I29=""),"",B29&amp;"-"&amp;C29&amp;"-"&amp;D29&amp;"-"&amp;H29&amp;"-"&amp;I29)</f>
        <v/>
      </c>
      <c r="B29" s="2" t="inlineStr">
        <is>
          <t>S2</t>
        </is>
      </c>
      <c r="C29" s="2" t="inlineStr">
        <is>
          <t>B6</t>
        </is>
      </c>
      <c r="D29" s="2" t="inlineStr">
        <is>
          <t>power</t>
        </is>
      </c>
      <c r="E29" s="2" t="n">
        <v>0.6</v>
      </c>
      <c r="F29" s="2">
        <f>IFERROR(VLOOKUP(D29,metric_dictionary!$A$2:$D$200,2,FALSE),"W")</f>
        <v/>
      </c>
      <c r="G29" s="2">
        <f>IFERROR(VLOOKUP(D29,metric_dictionary!$A$2:$D$200,3,FALSE),"power")</f>
        <v/>
      </c>
      <c r="H29" s="2" t="inlineStr">
        <is>
          <t>typical</t>
        </is>
      </c>
      <c r="I29" s="2">
        <f>IFERROR(VLOOKUP(D29,metric_dictionary!$A$2:$D$200,4,FALSE),"peak")</f>
        <v/>
      </c>
      <c r="J29" s="2" t="inlineStr">
        <is>
          <t>approved</t>
        </is>
      </c>
      <c r="K29" s="2" t="inlineStr">
        <is>
          <t>2026-05-27</t>
        </is>
      </c>
    </row>
    <row r="30">
      <c r="A30" s="2">
        <f>IF(OR(B30="",C30="",D30="",H30="",I30=""),"",B30&amp;"-"&amp;C30&amp;"-"&amp;D30&amp;"-"&amp;H30&amp;"-"&amp;I30)</f>
        <v/>
      </c>
      <c r="B30" s="2" t="inlineStr">
        <is>
          <t>S2</t>
        </is>
      </c>
      <c r="C30" s="2" t="inlineStr">
        <is>
          <t>B7</t>
        </is>
      </c>
      <c r="D30" s="2" t="inlineStr">
        <is>
          <t>logicMTr</t>
        </is>
      </c>
      <c r="E30" s="2" t="n">
        <v>420</v>
      </c>
      <c r="F30" s="2">
        <f>IFERROR(VLOOKUP(D30,metric_dictionary!$A$2:$D$200,2,FALSE),"MTr")</f>
        <v/>
      </c>
      <c r="G30" s="2">
        <f>IFERROR(VLOOKUP(D30,metric_dictionary!$A$2:$D$200,3,FALSE),"scale")</f>
        <v/>
      </c>
      <c r="H30" s="2" t="inlineStr">
        <is>
          <t>typical</t>
        </is>
      </c>
      <c r="I30" s="2">
        <f>IFERROR(VLOOKUP(D30,metric_dictionary!$A$2:$D$200,4,FALSE),"nominal")</f>
        <v/>
      </c>
      <c r="J30" s="2" t="inlineStr">
        <is>
          <t>review</t>
        </is>
      </c>
      <c r="K30" s="2" t="inlineStr">
        <is>
          <t>2026-05-27</t>
        </is>
      </c>
    </row>
    <row r="31">
      <c r="A31" s="2">
        <f>IF(OR(B31="",C31="",D31="",H31="",I31=""),"",B31&amp;"-"&amp;C31&amp;"-"&amp;D31&amp;"-"&amp;H31&amp;"-"&amp;I31)</f>
        <v/>
      </c>
      <c r="B31" s="2" t="inlineStr">
        <is>
          <t>S2</t>
        </is>
      </c>
      <c r="C31" s="2" t="inlineStr">
        <is>
          <t>B7</t>
        </is>
      </c>
      <c r="D31" s="2" t="inlineStr">
        <is>
          <t>memoryMb</t>
        </is>
      </c>
      <c r="E31" s="2" t="n">
        <v>2</v>
      </c>
      <c r="F31" s="2">
        <f>IFERROR(VLOOKUP(D31,metric_dictionary!$A$2:$D$200,2,FALSE),"Mb")</f>
        <v/>
      </c>
      <c r="G31" s="2">
        <f>IFERROR(VLOOKUP(D31,metric_dictionary!$A$2:$D$200,3,FALSE),"memory")</f>
        <v/>
      </c>
      <c r="H31" s="2" t="inlineStr">
        <is>
          <t>typical</t>
        </is>
      </c>
      <c r="I31" s="2">
        <f>IFERROR(VLOOKUP(D31,metric_dictionary!$A$2:$D$200,4,FALSE),"nominal")</f>
        <v/>
      </c>
      <c r="J31" s="2" t="inlineStr">
        <is>
          <t>review</t>
        </is>
      </c>
      <c r="K31" s="2" t="inlineStr">
        <is>
          <t>2026-05-27</t>
        </is>
      </c>
    </row>
    <row r="32">
      <c r="A32" s="2">
        <f>IF(OR(B32="",C32="",D32="",H32="",I32=""),"",B32&amp;"-"&amp;C32&amp;"-"&amp;D32&amp;"-"&amp;H32&amp;"-"&amp;I32)</f>
        <v/>
      </c>
      <c r="B32" s="2" t="inlineStr">
        <is>
          <t>S2</t>
        </is>
      </c>
      <c r="C32" s="2" t="inlineStr">
        <is>
          <t>B7</t>
        </is>
      </c>
      <c r="D32" s="2" t="inlineStr">
        <is>
          <t>area</t>
        </is>
      </c>
      <c r="E32" s="2" t="n">
        <v>2.7</v>
      </c>
      <c r="F32" s="2">
        <f>IFERROR(VLOOKUP(D32,metric_dictionary!$A$2:$D$200,2,FALSE),"mm2")</f>
        <v/>
      </c>
      <c r="G32" s="2">
        <f>IFERROR(VLOOKUP(D32,metric_dictionary!$A$2:$D$200,3,FALSE),"physical")</f>
        <v/>
      </c>
      <c r="H32" s="2" t="inlineStr">
        <is>
          <t>typical</t>
        </is>
      </c>
      <c r="I32" s="2">
        <f>IFERROR(VLOOKUP(D32,metric_dictionary!$A$2:$D$200,4,FALSE),"nominal")</f>
        <v/>
      </c>
      <c r="J32" s="2" t="inlineStr">
        <is>
          <t>review</t>
        </is>
      </c>
      <c r="K32" s="2" t="inlineStr">
        <is>
          <t>2026-05-27</t>
        </is>
      </c>
    </row>
    <row r="33">
      <c r="A33" s="2">
        <f>IF(OR(B33="",C33="",D33="",H33="",I33=""),"",B33&amp;"-"&amp;C33&amp;"-"&amp;D33&amp;"-"&amp;H33&amp;"-"&amp;I33)</f>
        <v/>
      </c>
      <c r="B33" s="2" t="inlineStr">
        <is>
          <t>S2</t>
        </is>
      </c>
      <c r="C33" s="2" t="inlineStr">
        <is>
          <t>B7</t>
        </is>
      </c>
      <c r="D33" s="2" t="inlineStr">
        <is>
          <t>power</t>
        </is>
      </c>
      <c r="E33" s="2" t="n">
        <v>0.95</v>
      </c>
      <c r="F33" s="2">
        <f>IFERROR(VLOOKUP(D33,metric_dictionary!$A$2:$D$200,2,FALSE),"W")</f>
        <v/>
      </c>
      <c r="G33" s="2">
        <f>IFERROR(VLOOKUP(D33,metric_dictionary!$A$2:$D$200,3,FALSE),"power")</f>
        <v/>
      </c>
      <c r="H33" s="2" t="inlineStr">
        <is>
          <t>typical</t>
        </is>
      </c>
      <c r="I33" s="2">
        <f>IFERROR(VLOOKUP(D33,metric_dictionary!$A$2:$D$200,4,FALSE),"peak")</f>
        <v/>
      </c>
      <c r="J33" s="2" t="inlineStr">
        <is>
          <t>review</t>
        </is>
      </c>
      <c r="K33" s="2" t="inlineStr">
        <is>
          <t>2026-05-27</t>
        </is>
      </c>
    </row>
    <row r="34">
      <c r="A34" s="2">
        <f>IF(OR(B34="",C34="",D34="",H34="",I34=""),"",B34&amp;"-"&amp;C34&amp;"-"&amp;D34&amp;"-"&amp;H34&amp;"-"&amp;I34)</f>
        <v/>
      </c>
      <c r="B34" s="2" t="inlineStr">
        <is>
          <t>S2</t>
        </is>
      </c>
      <c r="C34" s="2" t="inlineStr">
        <is>
          <t>B8</t>
        </is>
      </c>
      <c r="D34" s="2" t="inlineStr">
        <is>
          <t>logicMTr</t>
        </is>
      </c>
      <c r="E34" s="2" t="n">
        <v>0</v>
      </c>
      <c r="F34" s="2">
        <f>IFERROR(VLOOKUP(D34,metric_dictionary!$A$2:$D$200,2,FALSE),"MTr")</f>
        <v/>
      </c>
      <c r="G34" s="2">
        <f>IFERROR(VLOOKUP(D34,metric_dictionary!$A$2:$D$200,3,FALSE),"scale")</f>
        <v/>
      </c>
      <c r="H34" s="2" t="inlineStr">
        <is>
          <t>typical</t>
        </is>
      </c>
      <c r="I34" s="2">
        <f>IFERROR(VLOOKUP(D34,metric_dictionary!$A$2:$D$200,4,FALSE),"nominal")</f>
        <v/>
      </c>
      <c r="J34" s="2" t="inlineStr">
        <is>
          <t>review</t>
        </is>
      </c>
      <c r="K34" s="2" t="inlineStr">
        <is>
          <t>2026-05-27</t>
        </is>
      </c>
    </row>
    <row r="35">
      <c r="A35" s="2">
        <f>IF(OR(B35="",C35="",D35="",H35="",I35=""),"",B35&amp;"-"&amp;C35&amp;"-"&amp;D35&amp;"-"&amp;H35&amp;"-"&amp;I35)</f>
        <v/>
      </c>
      <c r="B35" s="2" t="inlineStr">
        <is>
          <t>S2</t>
        </is>
      </c>
      <c r="C35" s="2" t="inlineStr">
        <is>
          <t>B8</t>
        </is>
      </c>
      <c r="D35" s="2" t="inlineStr">
        <is>
          <t>memoryMb</t>
        </is>
      </c>
      <c r="E35" s="2" t="n">
        <v>48</v>
      </c>
      <c r="F35" s="2">
        <f>IFERROR(VLOOKUP(D35,metric_dictionary!$A$2:$D$200,2,FALSE),"Mb")</f>
        <v/>
      </c>
      <c r="G35" s="2">
        <f>IFERROR(VLOOKUP(D35,metric_dictionary!$A$2:$D$200,3,FALSE),"memory")</f>
        <v/>
      </c>
      <c r="H35" s="2" t="inlineStr">
        <is>
          <t>typical</t>
        </is>
      </c>
      <c r="I35" s="2">
        <f>IFERROR(VLOOKUP(D35,metric_dictionary!$A$2:$D$200,4,FALSE),"nominal")</f>
        <v/>
      </c>
      <c r="J35" s="2" t="inlineStr">
        <is>
          <t>review</t>
        </is>
      </c>
      <c r="K35" s="2" t="inlineStr">
        <is>
          <t>2026-05-27</t>
        </is>
      </c>
    </row>
    <row r="36">
      <c r="A36" s="2">
        <f>IF(OR(B36="",C36="",D36="",H36="",I36=""),"",B36&amp;"-"&amp;C36&amp;"-"&amp;D36&amp;"-"&amp;H36&amp;"-"&amp;I36)</f>
        <v/>
      </c>
      <c r="B36" s="2" t="inlineStr">
        <is>
          <t>S2</t>
        </is>
      </c>
      <c r="C36" s="2" t="inlineStr">
        <is>
          <t>B8</t>
        </is>
      </c>
      <c r="D36" s="2" t="inlineStr">
        <is>
          <t>area</t>
        </is>
      </c>
      <c r="E36" s="2" t="n">
        <v>8.199999999999999</v>
      </c>
      <c r="F36" s="2">
        <f>IFERROR(VLOOKUP(D36,metric_dictionary!$A$2:$D$200,2,FALSE),"mm2")</f>
        <v/>
      </c>
      <c r="G36" s="2">
        <f>IFERROR(VLOOKUP(D36,metric_dictionary!$A$2:$D$200,3,FALSE),"physical")</f>
        <v/>
      </c>
      <c r="H36" s="2" t="inlineStr">
        <is>
          <t>typical</t>
        </is>
      </c>
      <c r="I36" s="2">
        <f>IFERROR(VLOOKUP(D36,metric_dictionary!$A$2:$D$200,4,FALSE),"nominal")</f>
        <v/>
      </c>
      <c r="J36" s="2" t="inlineStr">
        <is>
          <t>review</t>
        </is>
      </c>
      <c r="K36" s="2" t="inlineStr">
        <is>
          <t>2026-05-27</t>
        </is>
      </c>
    </row>
    <row r="37">
      <c r="A37" s="2">
        <f>IF(OR(B37="",C37="",D37="",H37="",I37=""),"",B37&amp;"-"&amp;C37&amp;"-"&amp;D37&amp;"-"&amp;H37&amp;"-"&amp;I37)</f>
        <v/>
      </c>
      <c r="B37" s="2" t="inlineStr">
        <is>
          <t>S2</t>
        </is>
      </c>
      <c r="C37" s="2" t="inlineStr">
        <is>
          <t>B8</t>
        </is>
      </c>
      <c r="D37" s="2" t="inlineStr">
        <is>
          <t>power</t>
        </is>
      </c>
      <c r="E37" s="2" t="n">
        <v>0.8</v>
      </c>
      <c r="F37" s="2">
        <f>IFERROR(VLOOKUP(D37,metric_dictionary!$A$2:$D$200,2,FALSE),"W")</f>
        <v/>
      </c>
      <c r="G37" s="2">
        <f>IFERROR(VLOOKUP(D37,metric_dictionary!$A$2:$D$200,3,FALSE),"power")</f>
        <v/>
      </c>
      <c r="H37" s="2" t="inlineStr">
        <is>
          <t>typical</t>
        </is>
      </c>
      <c r="I37" s="2">
        <f>IFERROR(VLOOKUP(D37,metric_dictionary!$A$2:$D$200,4,FALSE),"peak")</f>
        <v/>
      </c>
      <c r="J37" s="2" t="inlineStr">
        <is>
          <t>review</t>
        </is>
      </c>
      <c r="K37" s="2" t="inlineStr">
        <is>
          <t>2026-05-27</t>
        </is>
      </c>
    </row>
  </sheetData>
  <autoFilter ref="A1:K37"/>
  <dataValidations count="8">
    <dataValidation sqref="B2:B80" showDropDown="0" showInputMessage="0" showErrorMessage="0" allowBlank="0" type="list">
      <formula1>"S1,S2,S3"</formula1>
    </dataValidation>
    <dataValidation sqref="C2:C80" showDropDown="0" showInputMessage="0" showErrorMessage="0" allowBlank="0" type="list">
      <formula1>"B0,B1,B2,B3,B4,B5,B6,B7,B8"</formula1>
    </dataValidation>
    <dataValidation sqref="D2:D80" showDropDown="0" showInputMessage="0" showErrorMessage="0" allowBlank="0" type="list">
      <formula1>"logicMTr,memoryMb,area,power,frequency,utilization"</formula1>
    </dataValidation>
    <dataValidation sqref="F2:F80" showDropDown="0" showInputMessage="0" showErrorMessage="0" allowBlank="0" type="list">
      <formula1>"%,GHz,MTr,Mb,W,mm2"</formula1>
    </dataValidation>
    <dataValidation sqref="G2:G80" showDropDown="0" showInputMessage="0" showErrorMessage="0" allowBlank="0" type="list">
      <formula1>"memory,performance,physical,power,scale"</formula1>
    </dataValidation>
    <dataValidation sqref="H2:H80" showDropDown="0" showInputMessage="0" showErrorMessage="0" allowBlank="0" type="list">
      <formula1>"typical,slow,fast,ss,ff,tt"</formula1>
    </dataValidation>
    <dataValidation sqref="I2:I80" showDropDown="0" showInputMessage="0" showErrorMessage="0" allowBlank="0" type="list">
      <formula1>"idle,nominal,peak"</formula1>
    </dataValidation>
    <dataValidation sqref="J2:J8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2026-05-27T08:20:35Z</dcterms:created>
  <dcterms:modified xsi:type="dcterms:W3CDTF">2026-05-27T08:20:35Z</dcterms:modified>
</cp:coreProperties>
</file>